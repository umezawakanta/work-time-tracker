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827"/>
  <workbookPr defaultThemeVersion="124226"/>
  <mc:AlternateContent xmlns:mc="http://schemas.openxmlformats.org/markup-compatibility/2006">
    <mc:Choice Requires="x15">
      <x15ac:absPath xmlns:x15ac="http://schemas.microsoft.com/office/spreadsheetml/2010/11/ac" url="C:\Users\kanta\OneDrive\work\GitHub\work-time-tracker\"/>
    </mc:Choice>
  </mc:AlternateContent>
  <xr:revisionPtr revIDLastSave="0" documentId="13_ncr:1_{6961F9ED-6D10-4D16-838E-F71CEF25910F}" xr6:coauthVersionLast="47" xr6:coauthVersionMax="47" xr10:uidLastSave="{00000000-0000-0000-0000-000000000000}"/>
  <bookViews>
    <workbookView xWindow="-120" yWindow="-120" windowWidth="29040" windowHeight="15720" firstSheet="3" activeTab="8" xr2:uid="{00000000-000D-0000-FFFF-FFFF00000000}"/>
  </bookViews>
  <sheets>
    <sheet name="よく使うこまんど" sheetId="1" r:id="rId1"/>
    <sheet name="AI連携" sheetId="9" r:id="rId2"/>
    <sheet name="vercel log" sheetId="8" r:id="rId3"/>
    <sheet name="ToDo" sheetId="2" r:id="rId4"/>
    <sheet name="開発ToDo" sheetId="7" r:id="rId5"/>
    <sheet name="プロンプト" sheetId="5" r:id="rId6"/>
    <sheet name="Cursor" sheetId="20" r:id="rId7"/>
    <sheet name="AI-CICD" sheetId="19" r:id="rId8"/>
    <sheet name="ファイル整理" sheetId="21" r:id="rId9"/>
    <sheet name="コンポーネント改善" sheetId="17" r:id="rId10"/>
    <sheet name="エラー修正" sheetId="16" r:id="rId11"/>
    <sheet name="ChatGPT活動記録" sheetId="13" r:id="rId12"/>
    <sheet name="活動記録" sheetId="12" r:id="rId13"/>
    <sheet name="ADHD" sheetId="14" r:id="rId14"/>
    <sheet name="メモ管理" sheetId="15" r:id="rId15"/>
    <sheet name="Claude" sheetId="18" r:id="rId16"/>
    <sheet name="VSCodeExtension" sheetId="6" r:id="rId17"/>
    <sheet name="開発環境" sheetId="3" r:id="rId18"/>
    <sheet name="コンポーネント分割案" sheetId="4" r:id="rId19"/>
    <sheet name="コンポーネント分割" sheetId="10" r:id="rId2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71" i="19" l="1" a="1"/>
  <c r="D371" i="19" s="1"/>
  <c r="D372" i="19" a="1"/>
  <c r="D372" i="19" s="1"/>
  <c r="D373" i="19" a="1"/>
  <c r="D373" i="19" s="1"/>
  <c r="D374" i="19" a="1"/>
  <c r="D374" i="19" s="1"/>
  <c r="D375" i="19" a="1"/>
  <c r="D375" i="19" s="1"/>
  <c r="D376" i="19" a="1"/>
  <c r="D376" i="19" s="1"/>
  <c r="A179" i="12"/>
  <c r="B179" i="12"/>
  <c r="B168" i="12"/>
  <c r="A168" i="12"/>
  <c r="B167" i="12"/>
  <c r="A167" i="12"/>
  <c r="B166" i="12"/>
  <c r="A166" i="12"/>
  <c r="B165" i="12"/>
  <c r="A165" i="12"/>
  <c r="B164" i="12"/>
  <c r="A164" i="12"/>
  <c r="B163" i="12"/>
  <c r="A163" i="12"/>
  <c r="B162" i="12"/>
  <c r="A162" i="12"/>
  <c r="B161" i="12"/>
  <c r="A161" i="12"/>
  <c r="B160" i="12"/>
  <c r="A160" i="12"/>
  <c r="B159" i="12"/>
  <c r="A159" i="12"/>
  <c r="B158" i="12"/>
  <c r="A158" i="12"/>
  <c r="B157" i="12"/>
  <c r="A157" i="12"/>
  <c r="B156" i="12"/>
  <c r="A156" i="12"/>
  <c r="B155" i="12"/>
  <c r="A155" i="12"/>
  <c r="B154" i="12"/>
  <c r="A154" i="12"/>
  <c r="B153" i="12"/>
  <c r="A153" i="12"/>
  <c r="B152" i="12"/>
  <c r="A152" i="12"/>
  <c r="B151" i="12"/>
  <c r="A151" i="12"/>
  <c r="B150" i="12"/>
  <c r="A150" i="12"/>
  <c r="B149" i="12"/>
  <c r="A149" i="12"/>
  <c r="B148" i="12"/>
  <c r="A148" i="12"/>
  <c r="B147" i="12"/>
  <c r="A147" i="12"/>
  <c r="B146" i="12"/>
  <c r="A146" i="12"/>
  <c r="B145" i="12"/>
  <c r="A145" i="12"/>
  <c r="B144" i="12"/>
  <c r="A144" i="12"/>
  <c r="B143" i="12"/>
  <c r="A143" i="12"/>
  <c r="B142" i="12"/>
  <c r="A142" i="12"/>
  <c r="B141" i="12"/>
  <c r="A141" i="12"/>
  <c r="B140" i="12"/>
  <c r="A140" i="12"/>
  <c r="B139" i="12"/>
  <c r="A139" i="12"/>
  <c r="B138" i="12"/>
  <c r="A138" i="12"/>
  <c r="B137" i="12"/>
  <c r="A137" i="12"/>
  <c r="B136" i="12"/>
  <c r="A136" i="12"/>
  <c r="B135" i="12"/>
  <c r="A135" i="12"/>
  <c r="B134" i="12"/>
  <c r="A134" i="12"/>
  <c r="B133" i="12"/>
  <c r="A133" i="12"/>
  <c r="B132" i="12"/>
  <c r="A132" i="12"/>
  <c r="B131" i="12"/>
  <c r="A131" i="12"/>
  <c r="B130" i="12"/>
  <c r="A130" i="12"/>
  <c r="B129" i="12"/>
  <c r="A129" i="12"/>
  <c r="B128" i="12"/>
  <c r="A128" i="12"/>
  <c r="B127" i="12"/>
  <c r="A127" i="12"/>
  <c r="B126" i="12"/>
  <c r="A126" i="12"/>
  <c r="B125" i="12"/>
  <c r="A125" i="12"/>
  <c r="B124" i="12"/>
  <c r="A124" i="12"/>
  <c r="B123" i="12"/>
  <c r="A123" i="12"/>
  <c r="B122" i="12"/>
  <c r="A122" i="12"/>
  <c r="B121" i="12"/>
  <c r="A121" i="12"/>
  <c r="B120" i="12"/>
  <c r="A120" i="12"/>
  <c r="B119" i="12"/>
  <c r="A119" i="12"/>
  <c r="B118" i="12"/>
  <c r="A118" i="12"/>
  <c r="B117" i="12"/>
  <c r="A117" i="12"/>
  <c r="B116" i="12"/>
  <c r="A116" i="12"/>
  <c r="B115" i="12"/>
  <c r="A115" i="12"/>
  <c r="B114" i="12"/>
  <c r="A114" i="12"/>
  <c r="B113" i="12"/>
  <c r="A113" i="12"/>
  <c r="B112" i="12"/>
  <c r="A112" i="12"/>
  <c r="B111" i="12"/>
  <c r="A111" i="12"/>
  <c r="B110" i="12"/>
  <c r="A110" i="12"/>
  <c r="B109" i="12"/>
  <c r="A109" i="12"/>
  <c r="B108" i="12"/>
  <c r="A108" i="12"/>
  <c r="B107" i="12"/>
  <c r="A107" i="12"/>
  <c r="B106" i="12"/>
  <c r="A106" i="12"/>
  <c r="B105" i="12"/>
  <c r="A105" i="12"/>
  <c r="B104" i="12"/>
  <c r="A104" i="12"/>
  <c r="B103" i="12"/>
  <c r="A103" i="12"/>
  <c r="B102" i="12"/>
  <c r="A102" i="12"/>
  <c r="B101" i="12"/>
  <c r="A101" i="12"/>
  <c r="B100" i="12"/>
  <c r="A100" i="12"/>
  <c r="B99" i="12"/>
  <c r="A99" i="12"/>
  <c r="B98" i="12"/>
  <c r="A98" i="12"/>
  <c r="B97" i="12"/>
  <c r="A97" i="12"/>
  <c r="B96" i="12"/>
  <c r="A96" i="12"/>
  <c r="B95" i="12"/>
  <c r="A95" i="12"/>
  <c r="B94" i="12"/>
  <c r="A94" i="12"/>
  <c r="B93" i="12"/>
  <c r="A93" i="12"/>
  <c r="B92" i="12"/>
  <c r="A92" i="12"/>
  <c r="B91" i="12"/>
  <c r="A91" i="12"/>
  <c r="B90" i="12"/>
  <c r="A90" i="12"/>
  <c r="B89" i="12"/>
  <c r="A89" i="12"/>
  <c r="B88" i="12"/>
  <c r="A88" i="12"/>
  <c r="B87" i="12"/>
  <c r="A87" i="12"/>
  <c r="B86" i="12"/>
  <c r="A86" i="12"/>
  <c r="B85" i="12"/>
  <c r="A85" i="12"/>
  <c r="B84" i="12"/>
  <c r="A84" i="12"/>
  <c r="B83" i="12"/>
  <c r="A83" i="12"/>
  <c r="B82" i="12"/>
  <c r="A82" i="12"/>
  <c r="B81" i="12"/>
  <c r="A81" i="12"/>
  <c r="B80" i="12"/>
  <c r="A80" i="12"/>
  <c r="B79" i="12"/>
  <c r="A79" i="12"/>
  <c r="B78" i="12"/>
  <c r="A78" i="12"/>
  <c r="B77" i="12"/>
  <c r="A77" i="12"/>
  <c r="B76" i="12"/>
  <c r="A76" i="12"/>
  <c r="B75" i="12"/>
  <c r="A75" i="12"/>
  <c r="B74" i="12"/>
  <c r="A74" i="12"/>
  <c r="B73" i="12"/>
  <c r="A73" i="12"/>
  <c r="B72" i="12"/>
  <c r="A72" i="12"/>
  <c r="B71" i="12"/>
  <c r="A71" i="12"/>
  <c r="B70" i="12"/>
  <c r="A70" i="12"/>
  <c r="B69" i="12"/>
  <c r="A69" i="12"/>
  <c r="B68" i="12"/>
  <c r="A68" i="12"/>
  <c r="B67" i="12"/>
  <c r="A67" i="12"/>
  <c r="B66" i="12"/>
  <c r="A66" i="12"/>
  <c r="B65" i="12"/>
  <c r="A65" i="12"/>
  <c r="B64" i="12"/>
  <c r="A64" i="12"/>
  <c r="B63" i="12"/>
  <c r="A63" i="12"/>
  <c r="B62" i="12"/>
  <c r="A62" i="12"/>
  <c r="B61" i="12"/>
  <c r="A61" i="12"/>
  <c r="B60" i="12"/>
  <c r="A60" i="12"/>
  <c r="B59" i="12"/>
  <c r="A59" i="12"/>
  <c r="B58" i="12"/>
  <c r="A58" i="12"/>
  <c r="B57" i="12"/>
  <c r="A57" i="12"/>
  <c r="B56" i="12"/>
  <c r="A56" i="12"/>
  <c r="B55" i="12"/>
  <c r="A55" i="12"/>
  <c r="B54" i="12"/>
  <c r="A54" i="12"/>
  <c r="B53" i="12"/>
  <c r="A53" i="12"/>
  <c r="B52" i="12"/>
  <c r="A52" i="12"/>
  <c r="B51" i="12"/>
  <c r="A51" i="12"/>
  <c r="B50" i="12"/>
  <c r="A50" i="12"/>
  <c r="B49" i="12"/>
  <c r="A49" i="12"/>
  <c r="B48" i="12"/>
  <c r="A48" i="12"/>
  <c r="B47" i="12"/>
  <c r="A47" i="12"/>
  <c r="B46" i="12"/>
  <c r="A46" i="12"/>
  <c r="B45" i="12"/>
  <c r="A45" i="12"/>
  <c r="B44" i="12"/>
  <c r="A44" i="12"/>
  <c r="B43" i="12"/>
  <c r="A43" i="12"/>
  <c r="B42" i="12"/>
  <c r="A42" i="12"/>
  <c r="B41" i="12"/>
  <c r="A41" i="12"/>
  <c r="B40" i="12"/>
  <c r="A40" i="12"/>
  <c r="B39" i="12"/>
  <c r="A39" i="12"/>
  <c r="B38" i="12"/>
  <c r="A38" i="12"/>
  <c r="B37" i="12"/>
  <c r="A37" i="12"/>
  <c r="B36" i="12"/>
  <c r="A36" i="12"/>
  <c r="B35" i="12"/>
  <c r="A35" i="12"/>
  <c r="B34" i="12"/>
  <c r="A34" i="12"/>
  <c r="B33" i="12"/>
  <c r="A33" i="12"/>
  <c r="B32" i="12"/>
  <c r="A32" i="12"/>
  <c r="B31" i="12"/>
  <c r="A31" i="12"/>
  <c r="B30" i="12"/>
  <c r="A30" i="12"/>
  <c r="B29" i="12"/>
  <c r="A29" i="12"/>
  <c r="B28" i="12"/>
  <c r="A28" i="12"/>
  <c r="B27" i="12"/>
  <c r="A27" i="12"/>
  <c r="B26" i="12"/>
  <c r="A26" i="12"/>
  <c r="B25" i="12"/>
  <c r="A25" i="12"/>
  <c r="B24" i="12"/>
  <c r="A24" i="12"/>
  <c r="B23" i="12"/>
  <c r="A23" i="12"/>
  <c r="B22" i="12"/>
  <c r="A22" i="12"/>
  <c r="B21" i="12"/>
  <c r="A21" i="12"/>
  <c r="B20" i="12"/>
  <c r="A20" i="12"/>
  <c r="B19" i="12"/>
  <c r="A19" i="12"/>
  <c r="B18" i="12"/>
  <c r="A18" i="12"/>
  <c r="B17" i="12"/>
  <c r="A17" i="12"/>
  <c r="B16" i="12"/>
  <c r="A16" i="12"/>
  <c r="B15" i="12"/>
  <c r="A15" i="12"/>
  <c r="B14" i="12"/>
  <c r="A14" i="12"/>
  <c r="B13" i="12"/>
  <c r="A13" i="12"/>
  <c r="B12" i="12"/>
  <c r="A12" i="12"/>
  <c r="B11" i="12"/>
  <c r="A11" i="12"/>
  <c r="B10" i="12"/>
  <c r="A10" i="12"/>
  <c r="B9" i="12"/>
  <c r="A9" i="12"/>
  <c r="B8" i="12"/>
  <c r="A8" i="12"/>
  <c r="B7" i="12"/>
  <c r="A7" i="12"/>
  <c r="B6" i="12"/>
  <c r="A6" i="12"/>
  <c r="B5" i="12"/>
  <c r="A5" i="12"/>
  <c r="B4" i="12"/>
  <c r="A4" i="12"/>
  <c r="A180" i="12"/>
  <c r="B180" i="12"/>
  <c r="A181" i="12"/>
  <c r="B181" i="12"/>
  <c r="A182" i="12"/>
  <c r="B182" i="12"/>
  <c r="A183" i="12"/>
  <c r="B183" i="12"/>
  <c r="A184" i="12"/>
  <c r="B184" i="12"/>
  <c r="A185" i="12"/>
  <c r="B185" i="12"/>
  <c r="A186" i="12"/>
  <c r="B186" i="12"/>
  <c r="A187" i="12"/>
  <c r="B187" i="12"/>
  <c r="A188" i="12"/>
  <c r="B188" i="12"/>
  <c r="A189" i="12"/>
  <c r="B189" i="12"/>
  <c r="A190" i="12"/>
  <c r="B190" i="12"/>
  <c r="A191" i="12"/>
  <c r="B191" i="12"/>
  <c r="A192" i="12"/>
  <c r="B192" i="12"/>
  <c r="A193" i="12"/>
  <c r="B193" i="12"/>
  <c r="A194" i="12"/>
  <c r="B194" i="12"/>
  <c r="A195" i="12"/>
  <c r="B195" i="12"/>
  <c r="A196" i="12"/>
  <c r="B196" i="12"/>
  <c r="A197" i="12"/>
  <c r="B197" i="12"/>
  <c r="A198" i="12"/>
  <c r="B198" i="12"/>
  <c r="A199" i="12"/>
  <c r="B199" i="12"/>
  <c r="A200" i="12"/>
  <c r="B200" i="12"/>
  <c r="A201" i="12"/>
  <c r="B201" i="12"/>
  <c r="A202" i="12"/>
  <c r="B202" i="12"/>
  <c r="A203" i="12"/>
  <c r="B203" i="12"/>
  <c r="A204" i="12"/>
  <c r="B204" i="12"/>
  <c r="A205" i="12"/>
  <c r="B205" i="12"/>
  <c r="A206" i="12"/>
  <c r="B206" i="12"/>
  <c r="A207" i="12"/>
  <c r="B207" i="12"/>
  <c r="A208" i="12"/>
  <c r="B208" i="12"/>
  <c r="A209" i="12"/>
  <c r="B209" i="12"/>
  <c r="A210" i="12"/>
  <c r="B210" i="12"/>
  <c r="A211" i="12"/>
  <c r="B211" i="12"/>
  <c r="A212" i="12"/>
  <c r="B212" i="12"/>
  <c r="A213" i="12"/>
  <c r="B213" i="12"/>
  <c r="A214" i="12"/>
  <c r="B214" i="12"/>
  <c r="A215" i="12"/>
  <c r="B215" i="12"/>
  <c r="A216" i="12"/>
  <c r="B216" i="12"/>
  <c r="A217" i="12"/>
  <c r="B217" i="12"/>
  <c r="A218" i="12"/>
  <c r="B218" i="12"/>
  <c r="A219" i="12"/>
  <c r="B219" i="12"/>
  <c r="A220" i="12"/>
  <c r="B220" i="12"/>
  <c r="A221" i="12"/>
  <c r="B221" i="12"/>
  <c r="A222" i="12"/>
  <c r="B222" i="12"/>
  <c r="A223" i="12"/>
  <c r="B223" i="12"/>
  <c r="A224" i="12"/>
  <c r="B224" i="12"/>
  <c r="A225" i="12"/>
  <c r="B225" i="12"/>
  <c r="A226" i="12"/>
  <c r="B226" i="12"/>
  <c r="A227" i="12"/>
  <c r="B227" i="12"/>
  <c r="A228" i="12"/>
  <c r="B228" i="12"/>
  <c r="A229" i="12"/>
  <c r="B229" i="12"/>
  <c r="A230" i="12"/>
  <c r="B230" i="12"/>
  <c r="A231" i="12"/>
  <c r="B231" i="12"/>
  <c r="A232" i="12"/>
  <c r="B232" i="12"/>
  <c r="A233" i="12"/>
  <c r="B233" i="12"/>
  <c r="A234" i="12"/>
  <c r="B234" i="12"/>
  <c r="A235" i="12"/>
  <c r="B235" i="12"/>
  <c r="A236" i="12"/>
  <c r="B236" i="12"/>
  <c r="A237" i="12"/>
  <c r="B237" i="12"/>
  <c r="A238" i="12"/>
  <c r="B238" i="12"/>
  <c r="A239" i="12"/>
  <c r="B239" i="12"/>
  <c r="A240" i="12"/>
  <c r="B240" i="12"/>
  <c r="A241" i="12"/>
  <c r="B241" i="12"/>
  <c r="A242" i="12"/>
  <c r="B242" i="12"/>
  <c r="A243" i="12"/>
  <c r="B243" i="12"/>
  <c r="A244" i="12"/>
  <c r="B244" i="12"/>
  <c r="A245" i="12"/>
  <c r="B245" i="12"/>
  <c r="A246" i="12"/>
  <c r="B246" i="12"/>
  <c r="A247" i="12"/>
  <c r="B247" i="12"/>
  <c r="A248" i="12"/>
  <c r="B248" i="12"/>
  <c r="A249" i="12"/>
  <c r="B249" i="12"/>
  <c r="A250" i="12"/>
  <c r="B250" i="12"/>
  <c r="A251" i="12"/>
  <c r="B251" i="12"/>
  <c r="A252" i="12"/>
  <c r="B252" i="12"/>
  <c r="A253" i="12"/>
  <c r="B253" i="12"/>
  <c r="A254" i="12"/>
  <c r="B254" i="12"/>
  <c r="A255" i="12"/>
  <c r="B255" i="12"/>
  <c r="A256" i="12"/>
  <c r="B256" i="12"/>
  <c r="A257" i="12"/>
  <c r="B257" i="12"/>
  <c r="A258" i="12"/>
  <c r="B258" i="12"/>
  <c r="A259" i="12"/>
  <c r="B259" i="12"/>
  <c r="A260" i="12"/>
  <c r="B260" i="12"/>
  <c r="A261" i="12"/>
  <c r="B261" i="12"/>
  <c r="A262" i="12"/>
  <c r="B262" i="12"/>
  <c r="A263" i="12"/>
  <c r="B263" i="12"/>
  <c r="A264" i="12"/>
  <c r="B264" i="12"/>
  <c r="A265" i="12"/>
  <c r="B265" i="12"/>
  <c r="A266" i="12"/>
  <c r="B266" i="12"/>
  <c r="A267" i="12"/>
  <c r="B267" i="12"/>
  <c r="A268" i="12"/>
  <c r="B268" i="12"/>
  <c r="A269" i="12"/>
  <c r="B269" i="12"/>
  <c r="A270" i="12"/>
  <c r="B270" i="12"/>
  <c r="A271" i="12"/>
  <c r="B271" i="12"/>
  <c r="A272" i="12"/>
  <c r="B272" i="12"/>
  <c r="A273" i="12"/>
  <c r="B273" i="12"/>
  <c r="A274" i="12"/>
  <c r="B274" i="12"/>
  <c r="A275" i="12"/>
  <c r="B275" i="12"/>
  <c r="A276" i="12"/>
  <c r="B276" i="12"/>
  <c r="A277" i="12"/>
  <c r="B277" i="12"/>
  <c r="A278" i="12"/>
  <c r="B278" i="12"/>
  <c r="A279" i="12"/>
  <c r="B279" i="12"/>
  <c r="A280" i="12"/>
  <c r="B280" i="12"/>
  <c r="A281" i="12"/>
  <c r="B281" i="12"/>
  <c r="A282" i="12"/>
  <c r="B282" i="12"/>
  <c r="A283" i="12"/>
  <c r="B283" i="12"/>
  <c r="A284" i="12"/>
  <c r="B284" i="12"/>
  <c r="A285" i="12"/>
  <c r="B285" i="12"/>
  <c r="A286" i="12"/>
  <c r="B286" i="12"/>
  <c r="A287" i="12"/>
  <c r="B287" i="12"/>
  <c r="A288" i="12"/>
  <c r="B288" i="12"/>
  <c r="A289" i="12"/>
  <c r="B289" i="12"/>
  <c r="A290" i="12"/>
  <c r="B290" i="12"/>
  <c r="A291" i="12"/>
  <c r="B291" i="12"/>
  <c r="B178" i="12"/>
  <c r="B177" i="12"/>
  <c r="B176" i="12"/>
  <c r="B175" i="12"/>
  <c r="B174" i="12"/>
  <c r="B173" i="12"/>
  <c r="B172" i="12"/>
  <c r="B171" i="12"/>
  <c r="B170" i="12"/>
  <c r="A178" i="12"/>
  <c r="A177" i="12"/>
  <c r="A176" i="12"/>
  <c r="B169" i="12"/>
  <c r="A175" i="12"/>
  <c r="A174" i="12"/>
  <c r="A173" i="12"/>
  <c r="A172" i="12"/>
  <c r="A171" i="12"/>
  <c r="A170" i="12"/>
  <c r="A169" i="12"/>
  <c r="A2" i="12"/>
  <c r="A3" i="12"/>
  <c r="D2" i="12"/>
  <c r="B5" i="2" l="1"/>
  <c r="B6" i="2" s="1"/>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<sst xmlns="http://schemas.openxmlformats.org/spreadsheetml/2006/main" count="1694" uniqueCount="1058">
  <si>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</si>
  <si>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</si>
  <si>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</si>
  <si>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</si>
  <si>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</si>
  <si>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</si>
  <si>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</si>
  <si>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</si>
  <si>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</si>
  <si>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</si>
  <si>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</si>
  <si>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</si>
  <si>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</si>
  <si>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</si>
  <si>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</si>
  <si>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</si>
  <si>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</si>
  <si>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</si>
  <si>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</si>
  <si>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</si>
  <si>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</si>
  <si>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</si>
  <si>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</si>
  <si>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</si>
  <si>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</si>
  <si>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</si>
  <si>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</si>
  <si>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</si>
  <si>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</si>
  <si>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</si>
  <si>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</si>
  <si>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</si>
  <si>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</si>
  <si>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</si>
  <si>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</si>
  <si>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</si>
  <si>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</si>
  <si>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</si>
  <si>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</si>
  <si>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</si>
  <si>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</si>
  <si>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</si>
  <si>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</si>
  <si>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</si>
  <si>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</si>
  <si>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</si>
  <si>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</si>
  <si>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</si>
  <si>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</si>
  <si>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</si>
  <si>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</si>
  <si>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</si>
  <si>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</si>
  <si>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</si>
  <si>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</si>
  <si>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</si>
  <si>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</si>
  <si>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</si>
  <si>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</si>
  <si>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</si>
  <si>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</si>
  <si>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</si>
  <si>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</si>
  <si>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</si>
  <si>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</si>
  <si>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</si>
  <si>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</si>
  <si>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</si>
  <si>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</si>
  <si>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</si>
  <si>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</si>
  <si>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</si>
  <si>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</si>
  <si>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</si>
  <si>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</si>
  <si>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</si>
  <si>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</si>
  <si>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</si>
  <si>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</si>
  <si>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</si>
  <si>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</si>
  <si>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</si>
  <si>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</si>
  <si>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</si>
  <si>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</si>
  <si>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</si>
  <si>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</si>
  <si>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</si>
  <si>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</si>
  <si>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</si>
  <si>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</si>
  <si>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</si>
  <si>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</si>
  <si>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</si>
  <si>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</si>
  <si>
    <t>vercel --prod</t>
    <phoneticPr fontId="1"/>
  </si>
  <si>
    <t>code --list-extensions &gt; vscode-extensions-list.txt</t>
    <phoneticPr fontId="1"/>
  </si>
  <si>
    <t>cat vscode-extensions-list.txt | xargs -L 1 code --install-extension</t>
    <phoneticPr fontId="1"/>
  </si>
  <si>
    <t>✅ 推奨・維持したほうがよい（必要性が高い）拡張機能</t>
  </si>
  <si>
    <r>
      <t>dart-code.dart-code, dart-code.flutter</t>
    </r>
    <r>
      <rPr>
        <sz val="11"/>
        <color theme="1"/>
        <rFont val="ＭＳ Ｐゴシック"/>
        <family val="2"/>
        <scheme val="minor"/>
      </rPr>
      <t>（Flutter開発に必須）</t>
    </r>
  </si>
  <si>
    <r>
      <t>ms-python.python, ms-python.vscode-pylance, ms-python.debugpy, ms-python.isort</t>
    </r>
    <r>
      <rPr>
        <sz val="11"/>
        <color theme="1"/>
        <rFont val="ＭＳ Ｐゴシック"/>
        <family val="2"/>
        <scheme val="minor"/>
      </rPr>
      <t>（Python開発）</t>
    </r>
  </si>
  <si>
    <r>
      <t>ms-vscode.cpptools</t>
    </r>
    <r>
      <rPr>
        <sz val="11"/>
        <color theme="1"/>
        <rFont val="ＭＳ Ｐゴシック"/>
        <family val="2"/>
        <scheme val="minor"/>
      </rPr>
      <t>（C/C++開発）</t>
    </r>
  </si>
  <si>
    <r>
      <t>golang.go</t>
    </r>
    <r>
      <rPr>
        <sz val="11"/>
        <color theme="1"/>
        <rFont val="ＭＳ Ｐゴシック"/>
        <family val="2"/>
        <scheme val="minor"/>
      </rPr>
      <t>（Go開発）</t>
    </r>
  </si>
  <si>
    <r>
      <t>rust-lang.rust-analyzer</t>
    </r>
    <r>
      <rPr>
        <sz val="11"/>
        <color theme="1"/>
        <rFont val="ＭＳ Ｐゴシック"/>
        <family val="2"/>
        <scheme val="minor"/>
      </rPr>
      <t>（Rust開発）</t>
    </r>
  </si>
  <si>
    <r>
      <t>vue.volar</t>
    </r>
    <r>
      <rPr>
        <sz val="11"/>
        <color theme="1"/>
        <rFont val="ＭＳ Ｐゴシック"/>
        <family val="2"/>
        <scheme val="minor"/>
      </rPr>
      <t>（Vue 3向け推奨）</t>
    </r>
  </si>
  <si>
    <r>
      <t>dbaeumer.vscode-eslint</t>
    </r>
    <r>
      <rPr>
        <sz val="11"/>
        <color theme="1"/>
        <rFont val="ＭＳ Ｐゴシック"/>
        <family val="2"/>
        <scheme val="minor"/>
      </rPr>
      <t>（JavaScript, TypeScript開発に推奨）</t>
    </r>
  </si>
  <si>
    <r>
      <t>esbenp.prettier-vscode</t>
    </r>
    <r>
      <rPr>
        <sz val="11"/>
        <color theme="1"/>
        <rFont val="ＭＳ Ｐゴシック"/>
        <family val="2"/>
        <scheme val="minor"/>
      </rPr>
      <t>（コードフォーマット必須級）</t>
    </r>
  </si>
  <si>
    <r>
      <t>bradlc.vscode-tailwindcss</t>
    </r>
    <r>
      <rPr>
        <sz val="11"/>
        <color theme="1"/>
        <rFont val="ＭＳ Ｐゴシック"/>
        <family val="2"/>
        <scheme val="minor"/>
      </rPr>
      <t>（Tailwind CSSを使うなら必須）</t>
    </r>
  </si>
  <si>
    <r>
      <t>eamodio.gitlens</t>
    </r>
    <r>
      <rPr>
        <sz val="11"/>
        <color theme="1"/>
        <rFont val="ＭＳ Ｐゴシック"/>
        <family val="2"/>
        <scheme val="minor"/>
      </rPr>
      <t>（Git管理が格段に便利）</t>
    </r>
  </si>
  <si>
    <r>
      <t>hediet.vscode-drawio</t>
    </r>
    <r>
      <rPr>
        <sz val="11"/>
        <color theme="1"/>
        <rFont val="ＭＳ Ｐゴシック"/>
        <family val="2"/>
        <scheme val="minor"/>
      </rPr>
      <t>（図を簡単に作成できる）</t>
    </r>
  </si>
  <si>
    <r>
      <t>github.vscode-pull-request-github</t>
    </r>
    <r>
      <rPr>
        <sz val="11"/>
        <color theme="1"/>
        <rFont val="ＭＳ Ｐゴシック"/>
        <family val="2"/>
        <scheme val="minor"/>
      </rPr>
      <t>（GitHub利用なら非常に便利）</t>
    </r>
  </si>
  <si>
    <r>
      <t>pkief.material-icon-theme</t>
    </r>
    <r>
      <rPr>
        <sz val="11"/>
        <color theme="1"/>
        <rFont val="ＭＳ Ｐゴシック"/>
        <family val="2"/>
        <scheme val="minor"/>
      </rPr>
      <t>（視覚的にファイルがわかりやすくなる）</t>
    </r>
  </si>
  <si>
    <r>
      <t>editorconfig.editorconfig</t>
    </r>
    <r>
      <rPr>
        <sz val="11"/>
        <color theme="1"/>
        <rFont val="ＭＳ Ｐゴシック"/>
        <family val="2"/>
        <scheme val="minor"/>
      </rPr>
      <t>（チーム開発・設定共有に有効）</t>
    </r>
  </si>
  <si>
    <r>
      <t>streetsidesoftware.code-spell-checker</t>
    </r>
    <r>
      <rPr>
        <sz val="11"/>
        <color theme="1"/>
        <rFont val="ＭＳ Ｐゴシック"/>
        <family val="2"/>
        <scheme val="minor"/>
      </rPr>
      <t>（英文スペルチェックに有効）</t>
    </r>
  </si>
  <si>
    <r>
      <t>ms-azuretools.vscode-docker</t>
    </r>
    <r>
      <rPr>
        <sz val="11"/>
        <color theme="1"/>
        <rFont val="ＭＳ Ｐゴシック"/>
        <family val="2"/>
        <scheme val="minor"/>
      </rPr>
      <t>（Docker利用者は必須）</t>
    </r>
  </si>
  <si>
    <r>
      <t>zeitnergmbh.auto-git</t>
    </r>
    <r>
      <rPr>
        <sz val="11"/>
        <color theme="1"/>
        <rFont val="ＭＳ Ｐゴシック"/>
        <family val="2"/>
        <scheme val="minor"/>
      </rPr>
      <t>（自動でGitコミットができる）</t>
    </r>
  </si>
  <si>
    <t>⚠️ 状況次第（用途次第で残す）</t>
  </si>
  <si>
    <r>
      <t>formulahendry.code-runner</t>
    </r>
    <r>
      <rPr>
        <sz val="11"/>
        <color theme="1"/>
        <rFont val="ＭＳ Ｐゴシック"/>
        <family val="2"/>
        <scheme val="minor"/>
      </rPr>
      <t>（スクリプト言語を簡単に実行したい場合）</t>
    </r>
  </si>
  <si>
    <r>
      <t>leizongmin.node-module-intellisense</t>
    </r>
    <r>
      <rPr>
        <sz val="11"/>
        <color theme="1"/>
        <rFont val="ＭＳ Ｐゴシック"/>
        <family val="2"/>
        <scheme val="minor"/>
      </rPr>
      <t>（Node.jsを頻繁に使う場合に便利）</t>
    </r>
  </si>
  <si>
    <r>
      <t>christian-kohler.npm-intellisense</t>
    </r>
    <r>
      <rPr>
        <sz val="11"/>
        <color theme="1"/>
        <rFont val="ＭＳ Ｐゴシック"/>
        <family val="2"/>
        <scheme val="minor"/>
      </rPr>
      <t>（npmのパッケージ名補完が便利だが、pnpm中心なら利用頻度低）</t>
    </r>
  </si>
  <si>
    <r>
      <t>*</t>
    </r>
    <r>
      <rPr>
        <i/>
        <sz val="11"/>
        <color theme="1"/>
        <rFont val="ＭＳ Ｐゴシック"/>
        <family val="3"/>
        <charset val="128"/>
        <scheme val="minor"/>
      </rPr>
      <t>ms-toolsai.jupyter, ms-toolsai.jupyter-各種</t>
    </r>
    <r>
      <rPr>
        <sz val="11"/>
        <color theme="1"/>
        <rFont val="ＭＳ Ｐゴシック"/>
        <family val="2"/>
        <scheme val="minor"/>
      </rPr>
      <t>（データ分析を行うなら必須）</t>
    </r>
  </si>
  <si>
    <r>
      <t>ms-dotnettools.csharp, ms-dotnettools.vscode-dotnet-runtime</t>
    </r>
    <r>
      <rPr>
        <sz val="11"/>
        <color theme="1"/>
        <rFont val="ＭＳ Ｐゴシック"/>
        <family val="2"/>
        <scheme val="minor"/>
      </rPr>
      <t>（.NET開発をする場合）</t>
    </r>
  </si>
  <si>
    <r>
      <t>msjsdiag.vscode-react-native</t>
    </r>
    <r>
      <rPr>
        <sz val="11"/>
        <color theme="1"/>
        <rFont val="ＭＳ Ｐゴシック"/>
        <family val="2"/>
        <scheme val="minor"/>
      </rPr>
      <t>（React Native開発する場合）</t>
    </r>
  </si>
  <si>
    <r>
      <t>firefox-devtools.vscode-firefox-debug, ms-edgedevtools.vscode-edge-devtools</t>
    </r>
    <r>
      <rPr>
        <sz val="11"/>
        <color theme="1"/>
        <rFont val="ＭＳ Ｐゴシック"/>
        <family val="2"/>
        <scheme val="minor"/>
      </rPr>
      <t>（ブラウザデバッグ用に）</t>
    </r>
  </si>
  <si>
    <r>
      <t>googlecloudtools.cloudcode</t>
    </r>
    <r>
      <rPr>
        <sz val="11"/>
        <color theme="1"/>
        <rFont val="ＭＳ Ｐゴシック"/>
        <family val="2"/>
        <scheme val="minor"/>
      </rPr>
      <t>（GCPを使う場合）</t>
    </r>
  </si>
  <si>
    <r>
      <t>shopify.ruby-lsp</t>
    </r>
    <r>
      <rPr>
        <sz val="11"/>
        <color theme="1"/>
        <rFont val="ＭＳ Ｐゴシック"/>
        <family val="2"/>
        <scheme val="minor"/>
      </rPr>
      <t>（Ruby開発の場合）</t>
    </r>
  </si>
  <si>
    <r>
      <t>pkosta2005.heroku-command</t>
    </r>
    <r>
      <rPr>
        <sz val="11"/>
        <color theme="1"/>
        <rFont val="ＭＳ Ｐゴシック"/>
        <family val="2"/>
        <scheme val="minor"/>
      </rPr>
      <t>（Herokuを利用する場合）</t>
    </r>
  </si>
  <si>
    <r>
      <t>octref.vetur</t>
    </r>
    <r>
      <rPr>
        <sz val="11"/>
        <color theme="1"/>
        <rFont val="ＭＳ Ｐゴシック"/>
        <family val="2"/>
        <scheme val="minor"/>
      </rPr>
      <t>（Vue 2用の拡張機能、Vue3なら不要）</t>
    </r>
  </si>
  <si>
    <t>❌ あまり使わない場合、削除を検討してよい</t>
  </si>
  <si>
    <r>
      <t>anysphere.pyright</t>
    </r>
    <r>
      <rPr>
        <sz val="11"/>
        <color theme="1"/>
        <rFont val="ＭＳ Ｐゴシック"/>
        <family val="2"/>
        <scheme val="minor"/>
      </rPr>
      <t>（Pylanceがあれば通常不要）</t>
    </r>
  </si>
  <si>
    <r>
      <t>csstools.postcss</t>
    </r>
    <r>
      <rPr>
        <sz val="11"/>
        <color theme="1"/>
        <rFont val="ＭＳ Ｐゴシック"/>
        <family val="2"/>
        <scheme val="minor"/>
      </rPr>
      <t>（PostCSS特化のプロジェクト以外不要）</t>
    </r>
  </si>
  <si>
    <r>
      <t>davidanson.vscode-markdownlint</t>
    </r>
    <r>
      <rPr>
        <sz val="11"/>
        <color theme="1"/>
        <rFont val="ＭＳ Ｐゴシック"/>
        <family val="2"/>
        <scheme val="minor"/>
      </rPr>
      <t>（Markdownを頻繁に書かないなら削除）</t>
    </r>
  </si>
  <si>
    <r>
      <t>donjayamanne.githistory</t>
    </r>
    <r>
      <rPr>
        <sz val="11"/>
        <color theme="1"/>
        <rFont val="ＭＳ Ｐゴシック"/>
        <family val="2"/>
        <scheme val="minor"/>
      </rPr>
      <t>（GitLensと役割重複）</t>
    </r>
  </si>
  <si>
    <r>
      <t>dotjoshjohnson.xml</t>
    </r>
    <r>
      <rPr>
        <sz val="11"/>
        <color theme="1"/>
        <rFont val="ＭＳ Ｐゴシック"/>
        <family val="2"/>
        <scheme val="minor"/>
      </rPr>
      <t>（XMLをあまり扱わないなら削除）</t>
    </r>
  </si>
  <si>
    <r>
      <t>felipecaputo.git-project-manager</t>
    </r>
    <r>
      <rPr>
        <sz val="11"/>
        <color theme="1"/>
        <rFont val="ＭＳ Ｐゴシック"/>
        <family val="2"/>
        <scheme val="minor"/>
      </rPr>
      <t>（複数プロジェクト管理頻繁でなければ削除可）</t>
    </r>
  </si>
  <si>
    <r>
      <t>mrorz.language-gettext</t>
    </r>
    <r>
      <rPr>
        <sz val="11"/>
        <color theme="1"/>
        <rFont val="ＭＳ Ｐゴシック"/>
        <family val="2"/>
        <scheme val="minor"/>
      </rPr>
      <t>（gettext利用が少なければ削除）</t>
    </r>
  </si>
  <si>
    <r>
      <t>reditorsupport.r, rdebugger.r-debugger</t>
    </r>
    <r>
      <rPr>
        <sz val="11"/>
        <color theme="1"/>
        <rFont val="ＭＳ Ｐゴシック"/>
        <family val="2"/>
        <scheme val="minor"/>
      </rPr>
      <t>（R言語を使わないなら削除）</t>
    </r>
  </si>
  <si>
    <r>
      <t>sysoev.language-stylus</t>
    </r>
    <r>
      <rPr>
        <sz val="11"/>
        <color theme="1"/>
        <rFont val="ＭＳ Ｐゴシック"/>
        <family val="2"/>
        <scheme val="minor"/>
      </rPr>
      <t>（Stylusを使用しなければ削除）</t>
    </r>
  </si>
  <si>
    <r>
      <t>xdebug.php-debug, xdebug.php-pack, zobo.php-intellisense</t>
    </r>
    <r>
      <rPr>
        <sz val="11"/>
        <color theme="1"/>
        <rFont val="ＭＳ Ｐゴシック"/>
        <family val="2"/>
        <scheme val="minor"/>
      </rPr>
      <t>（PHP開発しないなら削除）</t>
    </r>
  </si>
  <si>
    <t>Uninstall</t>
    <phoneticPr fontId="1"/>
  </si>
  <si>
    <t>pnpm clean</t>
    <phoneticPr fontId="1"/>
  </si>
  <si>
    <t>pnpm store prune</t>
    <phoneticPr fontId="1"/>
  </si>
  <si>
    <t>pnpm --recursive exec -- rm -rf node_modules
pnpm store prune
pnpm install</t>
    <phoneticPr fontId="1"/>
  </si>
  <si>
    <t>pnpm rebuild</t>
    <phoneticPr fontId="1"/>
  </si>
  <si>
    <t>ローカルストレージ保存は全部直す</t>
    <rPh sb="9" eb="11">
      <t>ホゾン</t>
    </rPh>
    <rPh sb="12" eb="14">
      <t>ゼンブ</t>
    </rPh>
    <rPh sb="14" eb="15">
      <t>ナオ</t>
    </rPh>
    <phoneticPr fontId="1"/>
  </si>
  <si>
    <t>pnpm remove react-beautiful-dnd</t>
    <phoneticPr fontId="1"/>
  </si>
  <si>
    <t>pnpm add @hello-pangea/dnd</t>
    <phoneticPr fontId="1"/>
  </si>
  <si>
    <t>通知機能のAPI連携</t>
    <rPh sb="0" eb="2">
      <t>ツウチ</t>
    </rPh>
    <rPh sb="2" eb="4">
      <t>キノウ</t>
    </rPh>
    <rPh sb="8" eb="10">
      <t>レンケイ</t>
    </rPh>
    <phoneticPr fontId="1"/>
  </si>
  <si>
    <t>通知機能の実装</t>
    <phoneticPr fontId="1"/>
  </si>
  <si>
    <t>現在、通知機能はモックデータを使用していますが、これを実際のAPIと連携させましょう。</t>
    <phoneticPr fontId="1"/>
  </si>
  <si>
    <t>src/services/api/notificationApi.js</t>
    <phoneticPr fontId="1"/>
  </si>
  <si>
    <t>通知機能のAPI実装</t>
    <rPh sb="0" eb="2">
      <t>ツウチ</t>
    </rPh>
    <rPh sb="2" eb="4">
      <t>キノウ</t>
    </rPh>
    <rPh sb="8" eb="10">
      <t>ジッソウ</t>
    </rPh>
    <phoneticPr fontId="1"/>
  </si>
  <si>
    <t>次に、Layout.tsxコンポーネントで通知機能の実装部分を更新します。モックデータの代わりに実際のAPIを使用するよう変更しましょう。</t>
    <phoneticPr fontId="1"/>
  </si>
  <si>
    <t>Layout.tsx</t>
    <phoneticPr fontId="1"/>
  </si>
  <si>
    <t>Layout.tsx - 通知機能の改善</t>
    <rPh sb="13" eb="15">
      <t>ツウチ</t>
    </rPh>
    <rPh sb="15" eb="17">
      <t>キノウ</t>
    </rPh>
    <rPh sb="18" eb="20">
      <t>カイゼン</t>
    </rPh>
    <phoneticPr fontId="1"/>
  </si>
  <si>
    <t>次に、通知機能の表示部分を改善し、未読/既読状態の視覚的な区別や操作性を向上させましょう。</t>
    <phoneticPr fontId="1"/>
  </si>
  <si>
    <t>src/components/notifications/NotificationItem.tsx</t>
    <phoneticPr fontId="1"/>
  </si>
  <si>
    <t>NotificationItem コンポーネント</t>
    <phoneticPr fontId="1"/>
  </si>
  <si>
    <t>次に、サブスクリプション管理機能を改善し、実際の決済システムと連携できるようにしましょう。Stripeを使った決済システムの実装例を作成します。</t>
    <phoneticPr fontId="1"/>
  </si>
  <si>
    <t>src/pages/SubscriptionManagement.tsx</t>
    <phoneticPr fontId="1"/>
  </si>
  <si>
    <t>サブスクリプション管理ページ</t>
    <rPh sb="9" eb="11">
      <t>カンリ</t>
    </rPh>
    <phoneticPr fontId="1"/>
  </si>
  <si>
    <t>ご指定いただいたとおり、まずは通知機能のAPI実装から始めたいと思います。他のAPIと同様のスタイルで通知用のAPIを実装します。</t>
    <phoneticPr fontId="1"/>
  </si>
  <si>
    <t>src/services/api/notificationApi.ts</t>
    <phoneticPr fontId="1"/>
  </si>
  <si>
    <t>次に、Layout.tsxコンポーネントで通知機能の実装部分を更新してください。モックデータの代わりに実際のAPIを使用するよう変更してください。一気に全部出力せずにひとつずつでお願いします。</t>
    <phoneticPr fontId="1"/>
  </si>
  <si>
    <t>まずは、通知機能のAPI実装からお願いします。一気に全部出力せずにひとつずつでお願いします。</t>
    <phoneticPr fontId="1"/>
  </si>
  <si>
    <t>〇</t>
    <phoneticPr fontId="1"/>
  </si>
  <si>
    <t>次にNotificationItem.tsxの部分を実装してください。一気に全部出力せずにひとつずつでお願いします。</t>
    <phoneticPr fontId="1"/>
  </si>
  <si>
    <t>他のバックエンド処理と合わせた形で通知API（Notification API）の実装を行います。まずはモデル部分から実装しましょう。</t>
    <phoneticPr fontId="1"/>
  </si>
  <si>
    <t>src\server\models\Notification.ts</t>
    <phoneticPr fontId="1"/>
  </si>
  <si>
    <t>次に、通知設定を管理するためのモデルを作成します。これによりユーザーごとに通知設定を保存できるようになります。</t>
    <phoneticPr fontId="1"/>
  </si>
  <si>
    <t>src\server\models\NotificationSettings.ts</t>
    <phoneticPr fontId="1"/>
  </si>
  <si>
    <t>次に、通知のルーティング処理を実装します。これには通知の取得、既読設定、削除などの機能が含まれます。</t>
    <phoneticPr fontId="1"/>
  </si>
  <si>
    <t>src\server\routes\notificationRoutes.ts</t>
  </si>
  <si>
    <t>src\server\routes\notificationRoutes.ts</t>
    <phoneticPr fontId="1"/>
  </si>
  <si>
    <t>最後に、WebSocketを使ったリアルタイム通知のための処理を実装します。これにより、ユーザーがオンライン中に即時通知を受け取ることができます。</t>
    <phoneticPr fontId="1"/>
  </si>
  <si>
    <t>src\services\webSocketService.ts</t>
    <phoneticPr fontId="1"/>
  </si>
  <si>
    <t>最後に、サーバーのmain.jsファイルを更新して、通知ルートとWebSocketサービスを統合します：</t>
    <phoneticPr fontId="1"/>
  </si>
  <si>
    <t>src\server\server.ts</t>
    <phoneticPr fontId="1"/>
  </si>
  <si>
    <t>npm install -g @anthropic-ai/claude-code</t>
    <phoneticPr fontId="1"/>
  </si>
  <si>
    <t>vite v6.2.2 building for production…</t>
    <phoneticPr fontId="1"/>
  </si>
  <si>
    <t>viteの最新バージョン確認</t>
    <rPh sb="5" eb="7">
      <t>サイシン</t>
    </rPh>
    <rPh sb="12" eb="14">
      <t>カクニン</t>
    </rPh>
    <phoneticPr fontId="1"/>
  </si>
  <si>
    <t>pnpm update</t>
    <phoneticPr fontId="1"/>
  </si>
  <si>
    <t>pnpm update --latest
# 依存関係のみ更新
pnpm update --latest --prod
# 開発依存関係のみ更新
pnpm update --latest --dev</t>
    <phoneticPr fontId="1"/>
  </si>
  <si>
    <t>pnpm self-update</t>
    <phoneticPr fontId="1"/>
  </si>
  <si>
    <t>Geminiとの連携は、あなたのTodoアプリケーションに確かに追加できます。Reactコンポーネントを見ると、現在は基本的なTodo管理機能が実装されていますが、Gemini APIを統合することで、タスク管理をより強力にできるでしょう。</t>
  </si>
  <si>
    <t>Gemini APIを使って次のような機能を追加できます：</t>
  </si>
  <si>
    <t>1. タスクの自動分類（インプット/アウトプット）</t>
  </si>
  <si>
    <t>2. タスクの優先順位付けの提案</t>
  </si>
  <si>
    <t>3. 関連タスクの提案</t>
  </si>
  <si>
    <t>4. タスク完了に向けたステップの生成</t>
  </si>
  <si>
    <t>5. 日々の振り返りと進捗分析</t>
  </si>
  <si>
    <t>これらの機能を実装するには、Google AIのGemini APIとの連携が必要になります。実装のために何か特定の機能に興味がありますか？それとも基本的な統合方法についての説明が必要でしょうか？</t>
  </si>
  <si>
    <t>src/services/GeminiService.ts</t>
    <phoneticPr fontId="1"/>
  </si>
  <si>
    <t>src/components/DailyTodoReminderWithGemini.tsx</t>
  </si>
  <si>
    <t># .env.local</t>
  </si>
  <si>
    <t>Gemini APIを使った自動タスク分類機能を実装しました。この実装では以下の機能が追加されています：</t>
  </si>
  <si>
    <r>
      <t>1. Gemini APIサービス</t>
    </r>
    <r>
      <rPr>
        <sz val="11"/>
        <color theme="1"/>
        <rFont val="ＭＳ Ｐゴシック"/>
        <family val="2"/>
        <scheme val="minor"/>
      </rPr>
      <t>:</t>
    </r>
  </si>
  <si>
    <t>タスクの文章を分析して「インプット」か「アウトプット」かを自動判定</t>
  </si>
  <si>
    <t>確信度と判断理由も返却</t>
  </si>
  <si>
    <r>
      <t>2. ユーザーインターフェースの拡張</t>
    </r>
    <r>
      <rPr>
        <sz val="11"/>
        <color theme="1"/>
        <rFont val="ＭＳ Ｐゴシック"/>
        <family val="2"/>
        <scheme val="minor"/>
      </rPr>
      <t>:</t>
    </r>
  </si>
  <si>
    <t>タスク入力中にリアルタイムで分析（デバウンス処理付き）</t>
  </si>
  <si>
    <t>AI提案バッジで分類結果を表示</t>
  </si>
  <si>
    <t>入力中の「分析中...」インジケーター</t>
  </si>
  <si>
    <r>
      <t>3. UXの改善</t>
    </r>
    <r>
      <rPr>
        <sz val="11"/>
        <color theme="1"/>
        <rFont val="ＭＳ Ｐゴシック"/>
        <family val="2"/>
        <scheme val="minor"/>
      </rPr>
      <t>:</t>
    </r>
  </si>
  <si>
    <t>確信度が高い場合のみ提案を表示</t>
  </si>
  <si>
    <t>分類結果を確認ダイアログにも表示</t>
  </si>
  <si>
    <t>ユーザーは常に手動で変更可能</t>
  </si>
  <si>
    <t>使用方法</t>
  </si>
  <si>
    <r>
      <t>2. GeminiService.ts</t>
    </r>
    <r>
      <rPr>
        <sz val="11"/>
        <color theme="1"/>
        <rFont val="ＭＳ Ｐゴシック"/>
        <family val="2"/>
        <scheme val="minor"/>
      </rPr>
      <t>をプロジェクトの</t>
    </r>
    <r>
      <rPr>
        <sz val="10"/>
        <color theme="1"/>
        <rFont val="Arial Unicode MS"/>
        <family val="2"/>
      </rPr>
      <t>src/services/</t>
    </r>
    <r>
      <rPr>
        <sz val="11"/>
        <color theme="1"/>
        <rFont val="ＭＳ Ｐゴシック"/>
        <family val="2"/>
        <scheme val="minor"/>
      </rPr>
      <t>ディレクトリに配置します。</t>
    </r>
  </si>
  <si>
    <r>
      <t>3. 既存の</t>
    </r>
    <r>
      <rPr>
        <sz val="10"/>
        <color theme="1"/>
        <rFont val="Arial Unicode MS"/>
        <family val="2"/>
      </rPr>
      <t>DailyTodoReminder</t>
    </r>
    <r>
      <rPr>
        <sz val="11"/>
        <color theme="1"/>
        <rFont val="ＭＳ Ｐゴシック"/>
        <family val="2"/>
        <scheme val="minor"/>
      </rPr>
      <t>コンポーネントを</t>
    </r>
    <r>
      <rPr>
        <sz val="10"/>
        <color theme="1"/>
        <rFont val="Arial Unicode MS"/>
        <family val="2"/>
      </rPr>
      <t>DailyTodoReminderWithGemini</t>
    </r>
    <r>
      <rPr>
        <sz val="11"/>
        <color theme="1"/>
        <rFont val="ＭＳ Ｐゴシック"/>
        <family val="2"/>
        <scheme val="minor"/>
      </rPr>
      <t>に置き換えるか、参考にして機能を統合します。</t>
    </r>
  </si>
  <si>
    <t>4. 必要なパッケージをインストールします：</t>
  </si>
  <si>
    <t>bash</t>
  </si>
  <si>
    <r>
      <t>npm</t>
    </r>
    <r>
      <rPr>
        <sz val="10"/>
        <color rgb="FF383A42"/>
        <rFont val="Consolas"/>
        <family val="3"/>
      </rPr>
      <t xml:space="preserve"> </t>
    </r>
    <r>
      <rPr>
        <sz val="10"/>
        <color rgb="FF4078F2"/>
        <rFont val="Consolas"/>
        <family val="3"/>
      </rPr>
      <t>install</t>
    </r>
    <r>
      <rPr>
        <sz val="10"/>
        <color rgb="FF383A42"/>
        <rFont val="Consolas"/>
        <family val="3"/>
      </rPr>
      <t xml:space="preserve"> axios</t>
    </r>
  </si>
  <si>
    <t>動作の流れ</t>
  </si>
  <si>
    <t>1. ユーザーがタスクを入力し始めると、テキストが3文字以上になった時点で自動分析が始まります。</t>
  </si>
  <si>
    <t>2. 分析中は小さなローディングインジケーターが表示されます。</t>
  </si>
  <si>
    <t>3. Gemini APIがタスクを分析し、結果が返ってくると：</t>
  </si>
  <si>
    <t>自動的にタスクタイプが設定されます</t>
  </si>
  <si>
    <t>確信度が高い場合は提案バッジが表示されます</t>
  </si>
  <si>
    <t>4. ユーザーはいつでも手動でタイプを変更できます。</t>
  </si>
  <si>
    <t>5. タスク追加確認ダイアログにもAI分析結果が表示されます。</t>
  </si>
  <si>
    <t>この実装によって、ユーザーはタスクのタイプを考える手間が省け、より正確な分類ができるようになります。また、AIからのフィードバックにより、ユーザー自身もタスクの性質をより深く理解できるようになります。</t>
  </si>
  <si>
    <t>追加のGemini連携機能（タスクの優先順位付け提案、関連タスクの提案など）も同様の方法で実装できます。さらに機能を追加したい場合は、お知らせください。</t>
  </si>
  <si>
    <r>
      <t>1. まず、Google AI StudioでGemini APIキーを取得し、</t>
    </r>
    <r>
      <rPr>
        <sz val="10"/>
        <color theme="1"/>
        <rFont val="Arial Unicode MS"/>
        <family val="2"/>
      </rPr>
      <t>.env.local</t>
    </r>
    <r>
      <rPr>
        <sz val="11"/>
        <color theme="1"/>
        <rFont val="ＭＳ Ｐゴシック"/>
        <family val="2"/>
        <scheme val="minor"/>
      </rPr>
      <t>ファイルに設定します。</t>
    </r>
    <phoneticPr fontId="1"/>
  </si>
  <si>
    <t>Google AI StudioでGemini APIキーを取得する方法</t>
  </si>
  <si>
    <t>Google AI StudioでGemini APIキーを取得するには、以下の手順に従ってください：</t>
  </si>
  <si>
    <t>1. Google AI Studioにアクセス</t>
  </si>
  <si>
    <t>Google AI Studioにアクセスします。</t>
  </si>
  <si>
    <t>Googleアカウントでログインします。初めての場合は利用規約に同意する必要があります。</t>
  </si>
  <si>
    <t>2. APIキーのセクションに移動</t>
  </si>
  <si>
    <t>ログイン後、左側のナビゲーションメニューから「API Keys」または「APIキー」のセクションを選択します。</t>
  </si>
  <si>
    <t>または直接 https://makersuite.google.com/app/apikey にアクセスします。</t>
  </si>
  <si>
    <t>3. 新しいAPIキーを作成</t>
  </si>
  <si>
    <t>「Create API key」または「APIキーを作成」ボタンをクリックします。</t>
  </si>
  <si>
    <t>キーの名前を入力するか、デフォルトの名前をそのまま使用します。</t>
  </si>
  <si>
    <t>「Create」または「作成」をクリックして、キーを生成します。</t>
  </si>
  <si>
    <t>4. APIキーをコピー</t>
  </si>
  <si>
    <t>生成されたAPIキーが表示されます。</t>
  </si>
  <si>
    <t>「Copy」または「コピー」ボタンをクリックして、キーをクリップボードにコピーします。</t>
  </si>
  <si>
    <t>このキーは再表示されないので、安全な場所に保存してください。</t>
  </si>
  <si>
    <t>5. プロジェクトに設定</t>
  </si>
  <si>
    <r>
      <t xml:space="preserve">コピーしたAPIキーを </t>
    </r>
    <r>
      <rPr>
        <sz val="10"/>
        <color theme="1"/>
        <rFont val="Arial Unicode MS"/>
        <family val="2"/>
      </rPr>
      <t>.env.local</t>
    </r>
    <r>
      <rPr>
        <sz val="11"/>
        <color theme="1"/>
        <rFont val="ＭＳ Ｐゴシック"/>
        <family val="2"/>
        <scheme val="minor"/>
      </rPr>
      <t xml:space="preserve"> ファイルの </t>
    </r>
    <r>
      <rPr>
        <sz val="10"/>
        <color theme="1"/>
        <rFont val="Arial Unicode MS"/>
        <family val="2"/>
      </rPr>
      <t>NEXT_PUBLIC_GEMINI_API_KEY=</t>
    </r>
    <r>
      <rPr>
        <sz val="11"/>
        <color theme="1"/>
        <rFont val="ＭＳ Ｐゴシック"/>
        <family val="2"/>
        <scheme val="minor"/>
      </rPr>
      <t xml:space="preserve"> の後に貼り付けます。</t>
    </r>
  </si>
  <si>
    <r>
      <t xml:space="preserve">例: </t>
    </r>
    <r>
      <rPr>
        <sz val="10"/>
        <color theme="1"/>
        <rFont val="Arial Unicode MS"/>
        <family val="2"/>
      </rPr>
      <t>NEXT_PUBLIC_GEMINI_API_KEY=AIzaSyA1B2C3D4E5F6G7H8I9J0K1L2M3N4O5P6</t>
    </r>
  </si>
  <si>
    <t>6. GeminiService.tsを更新</t>
  </si>
  <si>
    <t>GeminiService.tsファイル内の以下の部分を環境変数を使うように更新します：</t>
  </si>
  <si>
    <t>const API_KEY = process.env.NEXT_PUBLIC_GEMINI_API_KEY;</t>
  </si>
  <si>
    <t>注意点：</t>
  </si>
  <si>
    <t>APIキーは秘密情報です。コードリポジトリにコミットしないでください。</t>
  </si>
  <si>
    <t>無料利用枠があり、月間のリクエスト制限があります。</t>
  </si>
  <si>
    <t>ブラウザのフロントエンドで直接APIキーを使用すると公開されてしまうリスクがあります。本番環境では、バックエンドAPIを通してGemini APIを呼び出す方が安全です。</t>
  </si>
  <si>
    <t>Google AI StudioのUIは変更される場合がありますので、最新の情報はGoogle公式ドキュメントを参照してください。</t>
  </si>
  <si>
    <t>このコンポーネントの改善をしてください。一つか二つのファイルのコピペだけでできる簡単な改善にとどめてください。日本語でお願いします。</t>
    <phoneticPr fontId="1"/>
  </si>
  <si>
    <t>200行以上のコンポーネントは一部をサブコンポーネントとして切り出したいです。</t>
    <phoneticPr fontId="1"/>
  </si>
  <si>
    <t>src\components\HabitTracker.tsx</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</si>
  <si>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日本語でお願いします。</t>
    <phoneticPr fontId="1"/>
  </si>
  <si>
    <t>世界最高のITサービスを提供する企業のランキングについては、さまざまな評価基準（市場価値、革新性、顧客満足度、影響力など）で判断できます。現在の市場状況と総合的な評価に基づくと、以下のようなランキングが考えられます：
1. **Microsoft** - クラウドプラットフォーム（Azure）、生産性ツール（Microsoft 365）、AI技術（OpenAI連携）の総合力で、個人から企業まで幅広いニーズに対応しています。
2. **Apple** - ハードウェアとソフトウェアの緊密な統合による卓越したユーザー体験と、強固なエコシステム（iOS、macOS、iCloud）を提供しています。
3. **Amazon (AWS)** - クラウドコンピューティング分野のリーダーとして、最も包括的なクラウドサービスポートフォリオを持ち、世界中の企業のデジタルトランスフォーメーションを支えています。
4. **Google (Alphabet)** - 検索エンジン、クラウドサービス（Google Cloud）、AIソリューション（Google AI）など、革新的な技術と膨大なデータ処理能力で様々なサービスを提供しています。
5. **Salesforce** - CRM（顧客関係管理）分野のリーダーとして、企業の顧客管理とビジネスプロセスを革新するクラウドベースのソリューションを提供しています。
6. **NVIDIA** - AI、機械学習、データセンター向けの先進的なGPUとソフトウェアエコシステムを提供し、AIインフラの核となっています。
7. **Adobe** - クリエイティブクラウドをはじめとするソフトウェアスイートで、デジタルコンテンツ制作と管理の標準を確立しています。
8. **ServiceNow** - ビジネスプロセスのデジタル化とワークフロー管理において、革新的なクラウドベースのソリューションを提供しています。
9. **Oracle** - データベース、クラウドインフラ、エンタープライズソフトウェアの分野で、統合された企業向けソリューションを提供しています。
10. **SAP** - エンタープライズリソースプランニング（ERP）分野のリーダーとして、大企業の基幹業務システムを支える包括的なソリューションを提供しています。
これらの企業は、革新性、スケール、市場での影響力、技術的卓越性などの点で、世界トップクラスのITサービスを提供していると評価されています。</t>
    <phoneticPr fontId="1"/>
  </si>
  <si>
    <t>SaaSに特化した企業に絞ると、世界トップクラスのランキングは以下のようになります：
1. **Salesforce** - CRMの世界的リーダーとして、セールス、マーケティング、カスタマーサービスなど、顧客関係管理の包括的なクラウドソリューションを提供しています。
2. **Microsoft (Microsoft 365)** - Office 365、Teams、SharePointなどを含む包括的な生産性スイートで、企業向けSaaSの標準となっています。
3. **Adobe** - Creative CloudとExperience Cloudを通じて、クリエイティブ制作からマーケティング管理まで、幅広いSaaSソリューションを提供しています。
4. **ServiceNow** - ITサービス管理とビジネスワークフロー自動化の分野で、企業のデジタルトランスフォーメーションを促進する革新的なSaaSプラットフォームを提供しています。
5. **Zoom** - ビデオコミュニケーションのリーダーとして、シンプルさと使いやすさで世界中の企業と個人のコミュニケーションを変革しました。
6. **Atlassian** - Jira、Confluence、Trelloなどの製品を通じて、ソフトウェア開発とチームコラボレーションのための強力なツールを提供しています。
7. **HubSpot** - インバウンドマーケティング、セールス、カスタマーサービスを統合したプラットフォームで、中小企業から大企業まで幅広く利用されています。
8. **Workday** - 人事管理と財務管理に特化したクラウドベースのエンタープライズソフトウェアで、企業の人材と財務プロセスを統合しています。
9. **Shopify** - eコマースプラットフォームとして、個人から大企業まで、オンラインストアの構築と運営をサポートしています。
10. **Slack (Salesforce傘下)** - ビジネスコミュニケーションとコラボレーションの分野で、チームのコミュニケーションを変革するプラットフォームを提供しています。
これらの企業は、それぞれの専門分野でSaaSモデルを活用し、革新的なクラウドベースのソリューションを提供することで、世界的に高い評価を得ています。市場シェア、顧客満足度、革新性、成長率などを総合的に考慮したランキングとなっています。</t>
    <phoneticPr fontId="1"/>
  </si>
  <si>
    <t>MicroSoft、Apple、Amazon、Google、Salesforce、NVIDIA、Adobe、ServiceNow、Oracle、SAP</t>
    <phoneticPr fontId="1"/>
  </si>
  <si>
    <t>Salesforce、Microsoft、Adobe、ServiceNow、Zoom、Atlassian、HubSpot、Workday、Shopify、Slack</t>
    <phoneticPr fontId="1"/>
  </si>
  <si>
    <t>生成AIサービスに特化した企業に絞ると、世界のトップ企業ランキングは以下のようになります：
1. **OpenAI** - ChatGPTやGPT-4などの革新的な大規模言語モデルを開発し、API経由でアクセス可能なAIサービスを提供している最前線の企業です。
2. **Anthropic** - Claude（私自身）などの安全で役立つAIアシスタントを開発・提供し、責任あるAI開発に注力している企業です。
3. **Google (DeepMind/Google AI)** - Bard/Geminiなどの消費者向けAIや、Vertex AIなどの企業向けAIサービスを提供し、長年AI研究をリードしています。
4. **Microsoft** - OpenAIとの提携を通じて、Copilot（旧Bing Chat）や様々な業務向けのAIツールを提供しています。
5. **Stability AI** - Stable DiffusionなどのAI画像生成モデルを開発・公開し、オープンソースモデルの普及に貢献しています。
6. **Midjourney** - 高品質なAI画像生成サービスを提供し、アート領域でのAI活用を牽引しています。
7. **Cohere** - 企業向けの特化型言語モデルを提供し、特にビジネスコンテキストでの活用に強みを持つAIサービスを展開しています。
8. **Hugging Face** - AIモデルの共有プラットフォームとして、何千もの事前学習済みモデルへのアクセスを提供し、AI開発の民主化に貢献しています。
9. **Inflection AI** - Pi（Personal Intelligence）などのパーソナルAIアシスタントを開発し、より自然な対話体験を目指しています。
10. **Runway** - 動画生成やビジュアル編集などのクリエイティブツールにAIを応用し、Gen-2などの革新的なサービスを提供しています。
これらの企業は、モデルの性能、革新性、提供サービスの実用性、資金調達額、業界への影響力などを総合的に考慮したランキングです。生成AI分野は急速に発展しているため、ランキングは頻繁に変動する可能性があります。</t>
    <phoneticPr fontId="1"/>
  </si>
  <si>
    <t>OpenAI、Anthropic、Google、Microsoft、Stabilility AI、Midjourney、Cohere、Hugging Face、Infection AI、Runway</t>
    <phoneticPr fontId="1"/>
  </si>
  <si>
    <t>SNS（ソーシャルネットワーキングサービス）企業に絞ると、世界トップクラスのランキングは以下のようになります：
1. **Meta（旧Facebook）** - Facebook、Instagram、WhatsAppという三大プラットフォームを運営し、世界中で30億人以上のユーザーを持つSNS最大手です。
2. **ByteDance（TikTok）** - 短尺動画アプリTikTokを通じて、特に若年層に絶大な人気を集め、急速な成長を遂げているSNSプラットフォームです。
3. **X（旧Twitter）** - リアルタイム情報共有とパブリックコミュニケーションに特化したプラットフォームで、ニュースや公的な議論の場として独自のポジションを確立しています。
4. **Tencent（WeChat）** - 中国を中心に10億人以上のユーザーを持ち、SNS機能だけでなく、決済、公共サービスなど生活のあらゆる面をカバーする「スーパーアプリ」として発展しています。
5. **LinkedIn（Microsoft傘下）** - ビジネス特化型SNSとして、プロフェッショナルなネットワーキングとキャリア開発に焦点を当てたサービスを提供しています。
6. **Snapchat** - 消えるメッセージやストーリー機能を特徴とし、若年層を中心に独自のコミュニケーション体験を提供しています。
7. **Pinterest** - ビジュアル検索とアイデア発見に特化したプラットフォームで、特に趣味、ライフスタイル、DIY分野で強固なコミュニティを形成しています。
8. **Reddit** - 多様なトピックのコミュニティ（サブレディット）を中心に、ディスカッションとコンテンツ共有に特化したプラットフォームです。
9. **Discord** - ゲーマーから始まり、現在では様々な興味を持つコミュニティのためのコミュニケーションプラットフォームとして発展しています。
10. **LINE（Z Holdings）** - 日本や東南アジアを中心に強いプレゼンスを持ち、メッセージングを起点に様々なサービスを展開しています。
これらの企業は、ユーザー数、市場価値、サービスの革新性、社会的影響力などを総合的に考慮したランキングです。SNS市場は常に変化しており、新しいプラットフォームの台頭や既存プラットフォームの進化により、このランキングも今後変動する可能性があります。</t>
    <phoneticPr fontId="1"/>
  </si>
  <si>
    <t>マッチングサービスに特化した企業に絞ると、世界トップクラスのランキングは以下のようになります：
1. **Match Group** - Tinder、Hinge、Match.com、OkCupidなど、多数の人気デーティングアプリを保有する世界最大のオンラインデーティング企業です。市場シェア、ユーザー数、収益など多くの面でマッチング業界をリードしています。
2. **Bumble** - 女性主導のデーティングアプリとして独自のポジショニングで急成長し、デーティング以外にもBumble BFFやBumble Bizをリリースしてマッチングの概念を拡張しています。
3. **Airbnb** - 宿泊施設のマッチングから始まり、現在では体験、長期滞在など、ホストとゲストを世界的規模でマッチングするプラットフォームとして成功しています。
4. **Uber** - ドライバーと乗客のリアルタイムマッチングで移動手段を変革し、同様のモデルをフードデリバリーなど他分野にも展開しています。
5. **Indeed (Recruit Holdings)** - 求職者と企業のマッチングに特化し、世界最大の求人検索エンジンとして、雇用市場の重要なプラットフォームとなっています。
6. **LinkedIn (Microsoft)** - プロフェッショナルネットワーキングに特化し、求職者と企業をマッチングするリクルーティングソリューションを提供しています。
7. **TaskRabbit (IKEA傘下)** - 日常的なタスクやスキルベースの仕事について、サービス提供者と依頼者をマッチングするプラットフォームです。
8. **Fiverr** - フリーランサーとクライアントをマッチングし、デジタルサービスのグローバルマーケットプレイスとして成功を収めています。
9. **Upwork** - フリーランサーと企業をつなぐ世界最大のフリーランスプラットフォームとして、幅広い業種のリモートワークマッチングを提供しています。
10. **Meetup (belonging to AlleyCorp)** - 共通の興味や趣味を持つ人々をグループやイベントでマッチングし、オンラインとオフラインのコミュニティ形成を促進しています。
これらの企業は、マッチングアルゴリズムの質、ユーザーベースの規模、収益性、ビジネスモデルの革新性などを総合的に評価したランキングです。マッチングサービスは各領域で進化を続けており、このランキングも今後変動する可能性があります。</t>
    <phoneticPr fontId="1"/>
  </si>
  <si>
    <t>Meta、ByteDance、X、Tencent、LinkedIn、Snapchat、Pinterest、Reddit、Discord、LINE</t>
    <phoneticPr fontId="1"/>
  </si>
  <si>
    <t>Apple、Google、Sumsung、Tencent、Uber、Spotify、Snap Inc.、LINE、Grab、Airbnb</t>
    <phoneticPr fontId="1"/>
  </si>
  <si>
    <t>Match Group、Bumble、Airbnb、Uber、Indeed、LinkedIn、TaskRabbit、Fiverr、Upwork、Meetup</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</si>
  <si>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してください。命名規則や型定義にも一貫性をもたせ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t>
    <rPh sb="189" eb="191">
      <t>ケイコク</t>
    </rPh>
    <rPh sb="192" eb="194">
      <t>ゼッタイ</t>
    </rPh>
    <rPh sb="201" eb="204">
      <t>フクスウカイ</t>
    </rPh>
    <rPh sb="205" eb="207">
      <t>ケンショウ</t>
    </rPh>
    <rPh sb="249" eb="251">
      <t>カキ</t>
    </rPh>
    <rPh sb="252" eb="254">
      <t>レッキョ</t>
    </rPh>
    <rPh sb="256" eb="258">
      <t>キギョウ</t>
    </rPh>
    <rPh sb="264" eb="266">
      <t>ウワマワ</t>
    </rPh>
    <rPh sb="270" eb="272">
      <t>カンテン</t>
    </rPh>
    <rPh sb="273" eb="275">
      <t>ケントウ</t>
    </rPh>
    <phoneticPr fontId="1"/>
  </si>
  <si>
    <t>洗い物</t>
  </si>
  <si>
    <t>時間</t>
  </si>
  <si>
    <t>04:00</t>
  </si>
  <si>
    <t>睡眠</t>
  </si>
  <si>
    <t>04:05</t>
  </si>
  <si>
    <t>04:10</t>
  </si>
  <si>
    <t>04:15</t>
  </si>
  <si>
    <t>04:20</t>
  </si>
  <si>
    <t>04:25</t>
  </si>
  <si>
    <t>04:30</t>
  </si>
  <si>
    <t>04:35</t>
  </si>
  <si>
    <t>04:40</t>
  </si>
  <si>
    <t>04:45</t>
  </si>
  <si>
    <t>04:50</t>
  </si>
  <si>
    <t>04:55</t>
  </si>
  <si>
    <t>05:00</t>
  </si>
  <si>
    <t>05:05</t>
  </si>
  <si>
    <t>05:10</t>
  </si>
  <si>
    <t>05:15</t>
  </si>
  <si>
    <t>05:20</t>
  </si>
  <si>
    <t>05:25</t>
  </si>
  <si>
    <t>05:30</t>
  </si>
  <si>
    <t>05:35</t>
  </si>
  <si>
    <t>05:40</t>
  </si>
  <si>
    <t>05:45</t>
  </si>
  <si>
    <t>05:50</t>
  </si>
  <si>
    <t>05:55</t>
  </si>
  <si>
    <t>06:00</t>
  </si>
  <si>
    <t>起床</t>
  </si>
  <si>
    <t>06:05</t>
  </si>
  <si>
    <t>ストレッチ＆軽い体操</t>
  </si>
  <si>
    <t>06:10</t>
  </si>
  <si>
    <t>06:15</t>
  </si>
  <si>
    <t>06:20</t>
  </si>
  <si>
    <t>06:25</t>
  </si>
  <si>
    <t>06:30</t>
  </si>
  <si>
    <t>朝食準備・食事</t>
  </si>
  <si>
    <t>06:35</t>
  </si>
  <si>
    <t>06:40</t>
  </si>
  <si>
    <t>06:45</t>
  </si>
  <si>
    <t>06:50</t>
  </si>
  <si>
    <t>06:55</t>
  </si>
  <si>
    <t>07:00</t>
  </si>
  <si>
    <t>身支度</t>
  </si>
  <si>
    <t>07:05</t>
  </si>
  <si>
    <t>07:10</t>
  </si>
  <si>
    <t>07:15</t>
  </si>
  <si>
    <t>07:20</t>
  </si>
  <si>
    <t>07:25</t>
  </si>
  <si>
    <t>07:30</t>
  </si>
  <si>
    <t>通勤</t>
  </si>
  <si>
    <t>07:35</t>
  </si>
  <si>
    <t>07:40</t>
  </si>
  <si>
    <t>07:45</t>
  </si>
  <si>
    <t>07:50</t>
  </si>
  <si>
    <t>07:55</t>
  </si>
  <si>
    <t>08:00</t>
  </si>
  <si>
    <t>勤務</t>
  </si>
  <si>
    <t>08:05</t>
  </si>
  <si>
    <t>08:10</t>
  </si>
  <si>
    <t>08:15</t>
  </si>
  <si>
    <t>08:20</t>
  </si>
  <si>
    <t>08:25</t>
  </si>
  <si>
    <t>08:30</t>
  </si>
  <si>
    <t>08:35</t>
  </si>
  <si>
    <t>08:40</t>
  </si>
  <si>
    <t>08:45</t>
  </si>
  <si>
    <t>08:50</t>
  </si>
  <si>
    <t>08:55</t>
  </si>
  <si>
    <t>09:00</t>
  </si>
  <si>
    <t>09:05</t>
  </si>
  <si>
    <t>09:10</t>
  </si>
  <si>
    <t>09:15</t>
  </si>
  <si>
    <t>09:20</t>
  </si>
  <si>
    <t>09:25</t>
  </si>
  <si>
    <t>09:30</t>
  </si>
  <si>
    <t>09:35</t>
  </si>
  <si>
    <t>09:40</t>
  </si>
  <si>
    <t>09:45</t>
  </si>
  <si>
    <t>09:50</t>
  </si>
  <si>
    <t>09:55</t>
  </si>
  <si>
    <t>10:00</t>
  </si>
  <si>
    <t>10:05</t>
  </si>
  <si>
    <t>10:10</t>
  </si>
  <si>
    <t>10:15</t>
  </si>
  <si>
    <t>10:20</t>
  </si>
  <si>
    <t>10:25</t>
  </si>
  <si>
    <t>10:30</t>
  </si>
  <si>
    <t>10:35</t>
  </si>
  <si>
    <t>10:40</t>
  </si>
  <si>
    <t>10:45</t>
  </si>
  <si>
    <t>10:50</t>
  </si>
  <si>
    <t>10:55</t>
  </si>
  <si>
    <t>11:00</t>
  </si>
  <si>
    <t>11:05</t>
  </si>
  <si>
    <t>11:10</t>
  </si>
  <si>
    <t>11:15</t>
  </si>
  <si>
    <t>11:20</t>
  </si>
  <si>
    <t>11:25</t>
  </si>
  <si>
    <t>11:30</t>
  </si>
  <si>
    <t>11:35</t>
  </si>
  <si>
    <t>11:40</t>
  </si>
  <si>
    <t>11:45</t>
  </si>
  <si>
    <t>11:50</t>
  </si>
  <si>
    <t>11:55</t>
  </si>
  <si>
    <t>12:00</t>
  </si>
  <si>
    <t>昼休憩</t>
  </si>
  <si>
    <t>12:05</t>
  </si>
  <si>
    <t>12:10</t>
  </si>
  <si>
    <t>12:15</t>
  </si>
  <si>
    <t>12:20</t>
  </si>
  <si>
    <t>12:25</t>
  </si>
  <si>
    <t>12:30</t>
  </si>
  <si>
    <t>12:35</t>
  </si>
  <si>
    <t>12:40</t>
  </si>
  <si>
    <t>12:45</t>
  </si>
  <si>
    <t>12:50</t>
  </si>
  <si>
    <t>12:55</t>
  </si>
  <si>
    <t>13:00</t>
  </si>
  <si>
    <t>13:05</t>
  </si>
  <si>
    <t>13:10</t>
  </si>
  <si>
    <t>13:15</t>
  </si>
  <si>
    <t>13:20</t>
  </si>
  <si>
    <t>13:25</t>
  </si>
  <si>
    <t>13:30</t>
  </si>
  <si>
    <t>13:35</t>
  </si>
  <si>
    <t>13:40</t>
  </si>
  <si>
    <t>13:45</t>
  </si>
  <si>
    <t>13:50</t>
  </si>
  <si>
    <t>13:55</t>
  </si>
  <si>
    <t>14:00</t>
  </si>
  <si>
    <t>14:05</t>
  </si>
  <si>
    <t>14:10</t>
  </si>
  <si>
    <t>14:15</t>
  </si>
  <si>
    <t>14:20</t>
  </si>
  <si>
    <t>14:25</t>
  </si>
  <si>
    <t>14:30</t>
  </si>
  <si>
    <t>14:35</t>
  </si>
  <si>
    <t>14:40</t>
  </si>
  <si>
    <t>14:45</t>
  </si>
  <si>
    <t>14:50</t>
  </si>
  <si>
    <t>14:55</t>
  </si>
  <si>
    <t>15:00</t>
  </si>
  <si>
    <t>15:05</t>
  </si>
  <si>
    <t>15:10</t>
  </si>
  <si>
    <t>15:15</t>
  </si>
  <si>
    <t>15:20</t>
  </si>
  <si>
    <t>15:25</t>
  </si>
  <si>
    <t>15:30</t>
  </si>
  <si>
    <t>15:35</t>
  </si>
  <si>
    <t>15:40</t>
  </si>
  <si>
    <t>15:45</t>
  </si>
  <si>
    <t>15:50</t>
  </si>
  <si>
    <t>15:55</t>
  </si>
  <si>
    <t>16:00</t>
  </si>
  <si>
    <t>16:05</t>
  </si>
  <si>
    <t>16:10</t>
  </si>
  <si>
    <t>16:15</t>
  </si>
  <si>
    <t>16:20</t>
  </si>
  <si>
    <t>16:25</t>
  </si>
  <si>
    <t>16:30</t>
  </si>
  <si>
    <t>16:35</t>
  </si>
  <si>
    <t>16:40</t>
  </si>
  <si>
    <t>16:45</t>
  </si>
  <si>
    <t>16:50</t>
  </si>
  <si>
    <t>16:55</t>
  </si>
  <si>
    <t>17:00</t>
  </si>
  <si>
    <t>17:05</t>
  </si>
  <si>
    <t>17:10</t>
  </si>
  <si>
    <t>17:15</t>
  </si>
  <si>
    <t>17:20</t>
  </si>
  <si>
    <t>17:25</t>
  </si>
  <si>
    <t>17:30</t>
  </si>
  <si>
    <t>帰宅</t>
  </si>
  <si>
    <t>17:35</t>
  </si>
  <si>
    <t>17:40</t>
  </si>
  <si>
    <t>17:55</t>
  </si>
  <si>
    <t>18:00</t>
  </si>
  <si>
    <t>入浴</t>
  </si>
  <si>
    <t>18:05</t>
  </si>
  <si>
    <t>18:10</t>
  </si>
  <si>
    <t>18:15</t>
  </si>
  <si>
    <t>18:20</t>
  </si>
  <si>
    <t>18:25</t>
  </si>
  <si>
    <t>18:30</t>
  </si>
  <si>
    <t>夕食</t>
  </si>
  <si>
    <t>18:35</t>
  </si>
  <si>
    <t>18:40</t>
  </si>
  <si>
    <t>18:45</t>
  </si>
  <si>
    <t>18:50</t>
  </si>
  <si>
    <t>18:55</t>
  </si>
  <si>
    <t>19:00</t>
  </si>
  <si>
    <t>19:05</t>
  </si>
  <si>
    <t>19:10</t>
  </si>
  <si>
    <t>19:15</t>
  </si>
  <si>
    <t>19:20</t>
  </si>
  <si>
    <t>19:25</t>
  </si>
  <si>
    <t>19:30</t>
  </si>
  <si>
    <t>19:35</t>
  </si>
  <si>
    <t>19:40</t>
  </si>
  <si>
    <t>19:45</t>
  </si>
  <si>
    <t>19:50</t>
  </si>
  <si>
    <t>19:55</t>
  </si>
  <si>
    <t>20:00</t>
  </si>
  <si>
    <t>学習時間</t>
  </si>
  <si>
    <t>20:05</t>
  </si>
  <si>
    <t>20:10</t>
  </si>
  <si>
    <t>20:15</t>
  </si>
  <si>
    <t>20:20</t>
  </si>
  <si>
    <t>20:25</t>
  </si>
  <si>
    <t>20:30</t>
  </si>
  <si>
    <t>20:35</t>
  </si>
  <si>
    <t>20:40</t>
  </si>
  <si>
    <t>20:45</t>
  </si>
  <si>
    <t>20:50</t>
  </si>
  <si>
    <t>20:55</t>
  </si>
  <si>
    <t>21:00</t>
  </si>
  <si>
    <t>趣味（ギター演奏練習など）</t>
  </si>
  <si>
    <t>21:05</t>
  </si>
  <si>
    <t>21:10</t>
  </si>
  <si>
    <t>21:15</t>
  </si>
  <si>
    <t>21:20</t>
  </si>
  <si>
    <t>21:25</t>
  </si>
  <si>
    <t>21:30</t>
  </si>
  <si>
    <t>21:35</t>
  </si>
  <si>
    <t>21:40</t>
  </si>
  <si>
    <t>21:45</t>
  </si>
  <si>
    <t>21:50</t>
  </si>
  <si>
    <t>21:55</t>
  </si>
  <si>
    <t>22:00</t>
  </si>
  <si>
    <t>明日の準備・ToDo確認</t>
  </si>
  <si>
    <t>22:05</t>
  </si>
  <si>
    <t>22:10</t>
  </si>
  <si>
    <t>22:15</t>
  </si>
  <si>
    <t>22:20</t>
  </si>
  <si>
    <t>22:25</t>
  </si>
  <si>
    <t>22:30</t>
  </si>
  <si>
    <t>リラックスタイム（ストレッチ・瞑想）</t>
  </si>
  <si>
    <t>22:35</t>
  </si>
  <si>
    <t>22:40</t>
  </si>
  <si>
    <t>22:45</t>
  </si>
  <si>
    <t>22:50</t>
  </si>
  <si>
    <t>22:55</t>
  </si>
  <si>
    <t>23:00</t>
  </si>
  <si>
    <t>読書</t>
  </si>
  <si>
    <t>23:05</t>
  </si>
  <si>
    <t>23:10</t>
  </si>
  <si>
    <t>23:15</t>
  </si>
  <si>
    <t>23:20</t>
  </si>
  <si>
    <t>23:25</t>
  </si>
  <si>
    <t>23:30</t>
  </si>
  <si>
    <t>就寝準備（歯磨きなど）</t>
  </si>
  <si>
    <t>23:35</t>
  </si>
  <si>
    <t>23:40</t>
  </si>
  <si>
    <t>23:45</t>
  </si>
  <si>
    <t>23:50</t>
  </si>
  <si>
    <t>23:55</t>
  </si>
  <si>
    <t>00:00</t>
  </si>
  <si>
    <t>00:05</t>
  </si>
  <si>
    <t>00:10</t>
  </si>
  <si>
    <t>00:15</t>
  </si>
  <si>
    <t>00:20</t>
  </si>
  <si>
    <t>00:25</t>
  </si>
  <si>
    <t>00:30</t>
  </si>
  <si>
    <t>00:35</t>
  </si>
  <si>
    <t>00:40</t>
  </si>
  <si>
    <t>00:45</t>
  </si>
  <si>
    <t>00:50</t>
  </si>
  <si>
    <t>00:55</t>
  </si>
  <si>
    <t>01:00</t>
  </si>
  <si>
    <t>01:05</t>
  </si>
  <si>
    <t>01:10</t>
  </si>
  <si>
    <t>01:15</t>
  </si>
  <si>
    <t>01:20</t>
  </si>
  <si>
    <t>01:25</t>
  </si>
  <si>
    <t>01:30</t>
  </si>
  <si>
    <t>01:35</t>
  </si>
  <si>
    <t>01:40</t>
  </si>
  <si>
    <t>01:45</t>
  </si>
  <si>
    <t>01:50</t>
  </si>
  <si>
    <t>01:55</t>
  </si>
  <si>
    <t>02:00</t>
  </si>
  <si>
    <t>02:05</t>
  </si>
  <si>
    <t>02:10</t>
  </si>
  <si>
    <t>02:15</t>
  </si>
  <si>
    <t>02:20</t>
  </si>
  <si>
    <t>02:25</t>
  </si>
  <si>
    <t>02:30</t>
  </si>
  <si>
    <t>02:35</t>
  </si>
  <si>
    <t>02:40</t>
  </si>
  <si>
    <t>02:45</t>
  </si>
  <si>
    <t>02:50</t>
  </si>
  <si>
    <t>02:55</t>
  </si>
  <si>
    <t>03:00</t>
  </si>
  <si>
    <t>03:05</t>
  </si>
  <si>
    <t>03:10</t>
  </si>
  <si>
    <t>03:15</t>
  </si>
  <si>
    <t>03:20</t>
  </si>
  <si>
    <t>03:25</t>
  </si>
  <si>
    <t>03:30</t>
  </si>
  <si>
    <t>03:35</t>
  </si>
  <si>
    <t>03:40</t>
  </si>
  <si>
    <t>03:45</t>
  </si>
  <si>
    <t>03:50</t>
  </si>
  <si>
    <t>03:55</t>
  </si>
  <si>
    <t>洗い物</t>
    <phoneticPr fontId="1"/>
  </si>
  <si>
    <t>✔</t>
  </si>
  <si>
    <t>実績5/3</t>
  </si>
  <si>
    <t>実績5/4</t>
  </si>
  <si>
    <t>実績5/5</t>
  </si>
  <si>
    <t>実績5/6</t>
  </si>
  <si>
    <t>実績5/7</t>
  </si>
  <si>
    <t>実績5/8</t>
  </si>
  <si>
    <t>実績5/9</t>
  </si>
  <si>
    <t>実績5/10</t>
  </si>
  <si>
    <t>実績5/11</t>
  </si>
  <si>
    <t>実績5/12</t>
  </si>
  <si>
    <t>実績5/13</t>
  </si>
  <si>
    <t>実績5/14</t>
  </si>
  <si>
    <t>実績5/15</t>
  </si>
  <si>
    <t>実績5/16</t>
  </si>
  <si>
    <t>実績5/17</t>
  </si>
  <si>
    <t>実績5/18</t>
  </si>
  <si>
    <t>実績5/19</t>
  </si>
  <si>
    <t>実績5/20</t>
  </si>
  <si>
    <t>実績5/21</t>
  </si>
  <si>
    <t>実績5/22</t>
  </si>
  <si>
    <t>実績5/23</t>
  </si>
  <si>
    <t>実績5/24</t>
  </si>
  <si>
    <t>実績5/25</t>
  </si>
  <si>
    <t>実績5/26</t>
  </si>
  <si>
    <t>実績5/27</t>
  </si>
  <si>
    <t>実績5/28</t>
  </si>
  <si>
    <t>実績5/29</t>
  </si>
  <si>
    <t>実績5/30</t>
  </si>
  <si>
    <t>実績5/31</t>
  </si>
  <si>
    <t>実績 5/1</t>
    <phoneticPr fontId="1"/>
  </si>
  <si>
    <t>✔</t>
    <phoneticPr fontId="1"/>
  </si>
  <si>
    <t>プロンプト</t>
    <phoneticPr fontId="1"/>
  </si>
  <si>
    <t>回答</t>
    <rPh sb="0" eb="2">
      <t>カイトウ</t>
    </rPh>
    <phoneticPr fontId="1"/>
  </si>
  <si>
    <t>19:20の洗い物の予定も実施したので、予定通りの行動をしたとチェックをいれてください。19:25も洗い物の予定としてください。コピペが楽なように別のファイルは分割して出力してください。次の予定までに時間があれば好きなことをします。</t>
    <phoneticPr fontId="1"/>
  </si>
  <si>
    <t>2つのファイルを別々にご用意しました。コピー＆ペーストしやすいように分割しています。
- **update_with_win32com.py**  
  - 18:35, 18:55, 19:00, 19:05, 19:10, 19:15, 19:20, 19:25 の各行に「洗い物」を挿入  
  - 次の予定（19:25）まで「好きなこと」OKのコメント付き  
- **mark_multiple_completion.py**  
  - 19:05, 19:10, 19:15, 19:20, 19:25 の各行に「✔」を挿入  
  - 同時にヘッダーに「実績 M/D」を追加  
保存後、以下で実行してください：
```powershell
py update_with_win32com.py
py mark_multiple_completion.py
```
これで 19:25 の予定追加と 19:25 行の実施チェックも完了します。</t>
    <phoneticPr fontId="1"/>
  </si>
  <si>
    <t>コーヒーブレイク</t>
    <phoneticPr fontId="1"/>
  </si>
  <si>
    <t>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</si>
  <si>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`update_with_win32com.py` をご要望のマッピングに合わせて更新しました。  
- 18:35～19:30 の「洗い物」  
- 19:35 の「コーヒーブレイク」  
- 19:40 の「洗い物」  
を一括でスケジュールに書き込みます。  
次の「コーヒーブレイク」までの間は自由時間にどうぞ。  
続いて、実施チェック用の `mark_multiple_completion.py` も分割してご用意します。</t>
    <phoneticPr fontId="1"/>
  </si>
  <si>
    <t>一旦洗い物が完了しました。次に何をすべきか検討して予定を追加してください。</t>
    <phoneticPr fontId="1"/>
  </si>
  <si>
    <t>上記のスクリプトを実行しましたが、何も起きませんでした。</t>
    <phoneticPr fontId="1"/>
  </si>
  <si>
    <t>以下、コピペしやすいように２つのファイルに分けてご用意しました。
---
## 1. 予定を追加するスクリプト  
**ファイル名: `update_with_win32com.py`**
```python
# update_with_win32com.py
"""
『Vite-Vercel開発.xlsx』の「活動記録」シート上で、
- 今日の日付列を自動検出し、
- B列の時刻ラベルから各行を検索し、
- 該当セルに「洗い物」や「コーヒーブレイク」の予定を書き込みます。
今回のマッピング:
  18:35–19:30 → 洗い物
  19:35        → コーヒーブレイク
  19:40        → 洗い物
※次の「コーヒーブレイク」（19:35）までの間は自由時間としてどうぞ！
"""
import sys
import win32com.client
from datetime import datetime
# Excelにアタッチ
excel     = win32com.client.GetActiveObject("Excel.Application")
wb        = excel.Workbooks("Vite-Vercel開発.xlsx")
sht       = wb.Worksheets("活動記録")
# 定数
HEADER_ROW      = 3   # 日付ヘッダー行
TIME_COL        = 2   # B列：時刻ラベル
FIRST_TIME_ROW  = 4   # 時刻リスト開始行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時刻→予定 のマッピング
times_to_activities = {
    "18:35": "洗い物",
    "18:55": "洗い物",
    "19:00": "洗い物",
    "19:05": "洗い物",
    "19:10": "洗い物",
    "19:15": "洗い物",
    "19:20": "洗い物",
    "19:25": "洗い物",
    "19:30": "洗い物",
    "19:35": "コーヒーブレイク",
    "19:40": "洗い物",
}
# 検索して書き込み
for ts, act in times_to_activities.items():
    for r in range(FIRST_TIME_ROW, last_row + 1):
        c = sht.Cells(r, TIME_COL).Value
        label = ""
        if isinstance(c, str):
            label = c.strip()
        elif hasattr(c, "hour"):
            label = f"{c.hour:02d}:{c.minute:02d}"
        if label == ts:
            sht.Cells(r, target_col).Value = act
            print(f"Inserted '{act}' at {sht.Cells(r, target_col).Address} ({today} {ts})")
            break
wb.Save()
```
---
## 2. 実施チェックを入れるスクリプト  
**ファイル名: `mark_multiple_completion.py`**
```python
# mark_multiple_completion.py
"""
『Vite-Vercel開発.xlsx』の「活動記録」シート上で、
- 今日の日付列を自動検出し、
- B列の時刻ラベルから指定行を検索し、
- 隣列（実績列）に「✔」をまとめて書き込むスクリプトです。
今回は、19:25 と 19:30 の行に「洗い物」を実施済みとしてチェックします。
"""
import sys
import win32com.client
from datetime import datetime
# Excelにアタッチ
excel     = win32com.client.GetActiveObject("Excel.Application")
wb        = excel.Workbooks("Vite-Vercel開発.xlsx")
sht       = wb.Worksheets("活動記録")
# 定数
HEADER_ROW      = 3
TIME_COL        = 2
FIRST_TIME_ROW  = 4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チェック対象の時刻
times_to_check = ["19:25", "19:30"]
check_mark     = "✔"
# ヘッダーに「実績 M/D」見出しをセット
sht.Cells(HEADER_ROW, target_col + 1).Value = f"実績 {today.month}/{today.day}"
# 検索してチェックを入れる
for ts in times_to_check:
    for r in range(FIRST_TIME_ROW, last_row + 1):
        c = sht.Cells(r, TIME_COL).Value
        label = ""
        if isinstance(c, str):
            label = c.strip()
        elif hasattr(c, "hour"):
            label = f"{c.hour:02d}:{c.minute:02d}"
        if label == ts:
            sht.Cells(r, target_col + 1).Value = check_mark
            print(f"Checked '{check_mark}' at {sht.Cells(r, target_col+1).Address} ({today} {ts})")
            break
wb.Save()
```
---
### 実行手順
1. 必要であれば `pywin32` をインストール  
   ```powershell
   py -m pip install --upgrade pywin32
   ```
2. `Vite-Vercel開発.xlsx` の **「活動記録」** シートを開いたままにしておく  
3. 各スクリプトを保存したフォルダで
   ```powershell
   py update_with_win32com.py
   py mark_multiple_completion.py
   ```
4. **次の予定（19:35 のコーヒーブレイク）** まで、お好きなことをどうぞ！</t>
    <phoneticPr fontId="1"/>
  </si>
  <si>
    <t>PS C:\Users\kanta\GitHub\python&gt; py -m pip install --upgrade pywin32
Requirement already satisfied: pywin32 in c:\users\kanta\appdata\local\programs\python\python312\lib\site-packages (310)
[notice] A new release of pip is available: 24.0 -&gt; 25.1
[notice] To update, run: C:\Users\kanta\AppData\Local\Programs\Python\Python312\python.exe -m pip install --upgrade pip
PS C:\Users\kanta\GitHub\python&gt; C:\Users\kanta\AppData\Local\Programs\Python\Python312\python.exe -m pip install --upgrade pip
Requirement already satisfied: pip in c:\users\kanta\appdata\local\programs\python\python312\lib\site-packages (24.0)
Collecting pip
  Downloading pip-25.1-py3-none-any.whl.metadata (3.6 kB)
Downloading pip-25.1-py3-none-any.whl (1.8 MB)
   ━━━━━━━━━━━━━━━━━━━━━━━━━━━━━━━━━━━━━━━━ 1.8/1.8 MB 5.5 MB/s eta 0:00:00
Installing collected packages: pip
  Attempting uninstall: pip
    Found existing installation: pip 24.0
    Uninstalling pip-24.0:
      Successfully uninstalled pip-24.0
Successfully installed pip-25.1
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</si>
  <si>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`mark_multiple_completion.py` を以下のように更新しました。これで「19:25、19:30、19:35、19:40」の各行に✔マークが入ります。
```python
# mark_multiple_completion.py
"""
...（中略）...
# チェック対象時刻
times_to_check = ["19:25", "19:30", "19:35", "19:40"]
check_mark     = "✔"
...（以下省略）...
```
あとは、以下コマンドで実行してください。
```powershell
py mark_multiple_completion.py
```
次の予定（19:40 の洗い物）の前には、ぜひ好きなことをお楽しみください！</t>
    <phoneticPr fontId="1"/>
  </si>
  <si>
    <t>シンクまわり拭き</t>
    <phoneticPr fontId="1"/>
  </si>
  <si>
    <t>排水口掃除</t>
    <phoneticPr fontId="1"/>
  </si>
  <si>
    <t>スポンジ・ブラシ洗浄</t>
    <phoneticPr fontId="1"/>
  </si>
  <si>
    <t>コンロまわり拭き</t>
    <phoneticPr fontId="1"/>
  </si>
  <si>
    <t>ゴミ捨て</t>
    <phoneticPr fontId="1"/>
  </si>
  <si>
    <t>夕食を食べる</t>
    <phoneticPr fontId="1"/>
  </si>
  <si>
    <t>睡眠</t>
    <phoneticPr fontId="1"/>
  </si>
  <si>
    <t>起床</t>
    <phoneticPr fontId="1"/>
  </si>
  <si>
    <t>ストレッチ＆軽い体操</t>
    <phoneticPr fontId="1"/>
  </si>
  <si>
    <t>朝食準備・食事</t>
    <phoneticPr fontId="1"/>
  </si>
  <si>
    <t>身支度</t>
    <phoneticPr fontId="1"/>
  </si>
  <si>
    <t>通勤</t>
    <phoneticPr fontId="1"/>
  </si>
  <si>
    <t>休み</t>
    <phoneticPr fontId="1"/>
  </si>
  <si>
    <t>昼休憩</t>
    <phoneticPr fontId="1"/>
  </si>
  <si>
    <t>帰宅</t>
    <phoneticPr fontId="1"/>
  </si>
  <si>
    <t>入浴</t>
    <phoneticPr fontId="1"/>
  </si>
  <si>
    <t>夕食</t>
    <phoneticPr fontId="1"/>
  </si>
  <si>
    <t>趣味（ギター演奏練習など）</t>
    <phoneticPr fontId="1"/>
  </si>
  <si>
    <t>明日の準備・ToDo確認</t>
    <phoneticPr fontId="1"/>
  </si>
  <si>
    <t>リラックスタイム（ストレッチ・瞑想）</t>
    <phoneticPr fontId="1"/>
  </si>
  <si>
    <t>読書</t>
    <phoneticPr fontId="1"/>
  </si>
  <si>
    <t>机周り片付け</t>
    <phoneticPr fontId="1"/>
  </si>
  <si>
    <t>クローゼット整理</t>
    <phoneticPr fontId="1"/>
  </si>
  <si>
    <t>洗濯物たたみ</t>
    <phoneticPr fontId="1"/>
  </si>
  <si>
    <t>ベッドメイク</t>
    <phoneticPr fontId="1"/>
  </si>
  <si>
    <t>掃除機かけ</t>
    <phoneticPr fontId="1"/>
  </si>
  <si>
    <t>本棚整理</t>
    <phoneticPr fontId="1"/>
  </si>
  <si>
    <t>デスク周り整理</t>
    <phoneticPr fontId="1"/>
  </si>
  <si>
    <t>衣類を収納</t>
    <phoneticPr fontId="1"/>
  </si>
  <si>
    <t>床拭き掃除</t>
    <phoneticPr fontId="1"/>
  </si>
  <si>
    <t>換気</t>
    <phoneticPr fontId="1"/>
  </si>
  <si>
    <t>実績 5/2</t>
    <phoneticPr fontId="1"/>
  </si>
  <si>
    <t>[音楽] 人生にサプライズまこなです今日の動画を</t>
  </si>
  <si>
    <t>最後まで見ればあなたの大切な人の普通に できないが人生最大の武器に変わります</t>
  </si>
  <si>
    <t>https://www.youtube.com/watch?v=fZRXe4aAzkg</t>
    <phoneticPr fontId="1"/>
  </si>
  <si>
    <t>ストレッチ＆瞑想</t>
  </si>
  <si>
    <t>ToDoリスト作成</t>
  </si>
  <si>
    <t>タイマー設定</t>
  </si>
  <si>
    <t>集中作業：タスク1</t>
  </si>
  <si>
    <t>休憩（ストレッチ）</t>
  </si>
  <si>
    <t>集中作業：タスク2</t>
  </si>
  <si>
    <t>休憩（軽い運動）</t>
  </si>
  <si>
    <t>集中作業：タスク3</t>
  </si>
  <si>
    <t>勤務／学習開始</t>
  </si>
  <si>
    <t>短い散歩</t>
  </si>
  <si>
    <t>午後タスクリスト確認</t>
  </si>
  <si>
    <t>集中作業：午後タスク1</t>
  </si>
  <si>
    <t>休憩（リフレッシュ）</t>
  </si>
  <si>
    <t>集中作業：午後タスク2</t>
  </si>
  <si>
    <t>集中作業：午後タスク3</t>
  </si>
  <si>
    <t>帰宅準備</t>
  </si>
  <si>
    <t>日記・振り返り</t>
  </si>
  <si>
    <t>翌日計画</t>
  </si>
  <si>
    <t>リラックスタイム</t>
  </si>
  <si>
    <t>軽い運動</t>
  </si>
  <si>
    <t>就寝準備</t>
  </si>
  <si>
    <t>就寝</t>
  </si>
  <si>
    <t>ADHDは怠け者の言い訳だもっと努力 すればできる誰もが無意識に同じ人間同じ</t>
  </si>
  <si>
    <t>ようなことができるはずという思い込みが あります大間違いですadhDの脳は普通</t>
  </si>
  <si>
    <t>の人の脳が一般常用者としたらレーシング カー街中の道路を時速60kmで走るよう</t>
  </si>
  <si>
    <t>メモ管理は Obsidian in  Cursor が最強。
Obsidianはmd ファイルとして一つ一つが独立して存在している。これらをcursor agent に読み込ませることでmcp みたいな運用ができる。具体的な運用方法は以下リプに載せる。</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</si>
  <si>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232" eb="233">
      <t>カナラ</t>
    </rPh>
    <rPh sb="240" eb="242">
      <t>シテキ</t>
    </rPh>
    <rPh sb="253" eb="255">
      <t>カイゼン</t>
    </rPh>
    <rPh sb="262" eb="263">
      <t>トク</t>
    </rPh>
    <rPh sb="300" eb="302">
      <t>ゼッタイ</t>
    </rPh>
    <rPh sb="309" eb="312">
      <t>フクスウカイ</t>
    </rPh>
    <rPh sb="313" eb="315">
      <t>ケンショウ</t>
    </rPh>
    <rPh sb="316" eb="317">
      <t>オコナ</t>
    </rPh>
    <rPh sb="358" eb="359">
      <t>メイ</t>
    </rPh>
    <rPh sb="369" eb="371">
      <t>シュツリョク</t>
    </rPh>
    <rPh sb="383" eb="385">
      <t>コウセイ</t>
    </rPh>
    <rPh sb="390" eb="393">
      <t>カイゼンアン</t>
    </rPh>
    <rPh sb="397" eb="399">
      <t>テイジ</t>
    </rPh>
    <rPh sb="897" eb="899">
      <t>カイトウ</t>
    </rPh>
    <rPh sb="900" eb="901">
      <t>ナガ</t>
    </rPh>
    <rPh sb="907" eb="909">
      <t>トチュウ</t>
    </rPh>
    <rPh sb="910" eb="911">
      <t>キ</t>
    </rPh>
    <rPh sb="923" eb="926">
      <t>フクスウカイ</t>
    </rPh>
    <rPh sb="927" eb="929">
      <t>ブンカツ</t>
    </rPh>
    <rPh sb="931" eb="933">
      <t>シュツリョク</t>
    </rPh>
    <rPh sb="938" eb="940">
      <t>ケントウ</t>
    </rPh>
    <phoneticPr fontId="1"/>
  </si>
  <si>
    <t>src/
└── core/
    └── ai/
        ├── cache/
        │   ├── AICacheManager.ts（メインファイル）
        │   ├── CacheKeyGenerator.ts（キャッシュキー生成を分離）
        │   ├── CacheStorage.ts（ストレージ操作を分離）
        │   └── types/
        │       └── CacheTypes.ts（キャッシュ関連の型定義）
        └── ... (その他のディレクトリ)</t>
    <phoneticPr fontId="1"/>
  </si>
  <si>
    <t>src/
└── core/
    └── ai/
        ├── cache/
        │   ├── AICacheManager.ts（メインファイル）
        │   ├── CacheKeyGenerator.ts（キー生成機能）
        │   ├── CacheStorage.ts（ストレージ操作）
        │   ├── CachePriorityQueue.ts（優先順位ベースのキャッシュ管理）
        │   ├── MemoryUsageMonitor.ts（メモリ使用量監視）
        │   ├── DistributedCacheClient.ts（分散キャッシュ連携）
        │   ├── CacheMetricsCollector.ts（メトリクス収集）
        │   └── types/
        │       └── CacheTypes.ts（型定義）
        └── ... (その他のディレクトリ)</t>
    <phoneticPr fontId="1"/>
  </si>
  <si>
    <t>エラーを修正してください。日本語でお願いします。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</si>
  <si>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409" eb="411">
      <t>カイハツ</t>
    </rPh>
    <rPh sb="429" eb="430">
      <t>カナラ</t>
    </rPh>
    <rPh sb="431" eb="433">
      <t>コウリョ</t>
    </rPh>
    <phoneticPr fontId="1"/>
  </si>
  <si>
    <t>src\components\dailyToDoReminder\controls\TodoViewControls.tsx</t>
    <phoneticPr fontId="1"/>
  </si>
  <si>
    <t>src\components\dailyToDoReminder\DailyTodoReminder.tsx</t>
    <phoneticPr fontId="1"/>
  </si>
  <si>
    <t>使用箇所</t>
    <rPh sb="0" eb="4">
      <t>シヨウカショ</t>
    </rPh>
    <phoneticPr fontId="1"/>
  </si>
  <si>
    <t>src\components\dailyToDoReminder\todo\TodoFilters.tsx</t>
    <phoneticPr fontId="1"/>
  </si>
  <si>
    <t>src\components\dailyToDoReminder\InviteFriendsComponent.tsx</t>
    <phoneticPr fontId="1"/>
  </si>
  <si>
    <t>src\components\dailyToDoReminder\todo\TodoItem.tsx</t>
    <phoneticPr fontId="1"/>
  </si>
  <si>
    <t>src\components\dailyToDoReminder\todo\TodoList.tsx</t>
    <phoneticPr fontId="1"/>
  </si>
  <si>
    <t>src\components\EventModal.tsx</t>
    <phoneticPr fontId="1"/>
  </si>
  <si>
    <t>src\components\dailyToDoReminder\components\TodoHeader.tsx</t>
    <phoneticPr fontId="1"/>
  </si>
  <si>
    <t>ローカル開発環境のセットアップ</t>
  </si>
  <si>
    <t>1. pnpmで依存関係をインストール</t>
    <phoneticPr fontId="1"/>
  </si>
  <si>
    <t># 現在のディレクトリで
cd C:\Users\kanta\OneDrive\work\GitHub\work-time-tracker</t>
    <phoneticPr fontId="1"/>
  </si>
  <si>
    <t>理解</t>
    <rPh sb="0" eb="2">
      <t>リカイ</t>
    </rPh>
    <phoneticPr fontId="1"/>
  </si>
  <si>
    <t>実行</t>
    <rPh sb="0" eb="2">
      <t>ジッコウ</t>
    </rPh>
    <phoneticPr fontId="1"/>
  </si>
  <si>
    <t># クリーンインストール
Remove-Item node_modules -Recurse -Force -ErrorAction SilentlyContinue</t>
    <phoneticPr fontId="1"/>
  </si>
  <si>
    <t>4. クリーンインストール</t>
    <phoneticPr fontId="1"/>
  </si>
  <si>
    <t>Git リモートリポジトリの設定</t>
    <phoneticPr fontId="1"/>
  </si>
  <si>
    <t># Gitリポジトリの状態確認
git status</t>
    <phoneticPr fontId="1"/>
  </si>
  <si>
    <t># リモートリポジトリの確認
git remote -v</t>
    <phoneticPr fontId="1"/>
  </si>
  <si>
    <t>2. Gitリポジトリの初期化と接続</t>
    <phoneticPr fontId="1"/>
  </si>
  <si>
    <t># もしGitリポジトリでない場合
git init</t>
    <phoneticPr fontId="1"/>
  </si>
  <si>
    <t># リモートリポジトリを追加
git remote add origin https://github.com/umezawakanta/work-time-tracker.git</t>
    <phoneticPr fontId="1"/>
  </si>
  <si>
    <t># 確認
git remote -v</t>
    <phoneticPr fontId="1"/>
  </si>
  <si>
    <t>3. 既存のコードをGitHubにプッシュ</t>
    <phoneticPr fontId="1"/>
  </si>
  <si>
    <t># 現在のブランチ名を確認
git branch</t>
    <phoneticPr fontId="1"/>
  </si>
  <si>
    <t>5. プロジェクトのNode.js要件を更新</t>
    <phoneticPr fontId="1"/>
  </si>
  <si>
    <t>Start-Process "https://github.com/umezawakanta/work-time-tracker"</t>
    <phoneticPr fontId="1"/>
  </si>
  <si>
    <t># Cursorでプロジェクトを開く
cursor .</t>
    <phoneticPr fontId="1"/>
  </si>
  <si>
    <t># 自動修正可能なエラーを修正
pnpm run lint:fix</t>
    <phoneticPr fontId="1"/>
  </si>
  <si>
    <t># eslint.config.jsの内容を確認
Get-Content eslint.config.js</t>
    <phoneticPr fontId="1"/>
  </si>
  <si>
    <t># バックアップを作成
Copy-Item eslint.config.js eslint.config.js.bak</t>
    <phoneticPr fontId="1"/>
  </si>
  <si>
    <t># 古い設定ファイルを削除
Remove-Item .eslintrc.js -ErrorAction SilentlyContinue</t>
    <phoneticPr fontId="1"/>
  </si>
  <si>
    <t># キャッシュをクリア
Remove-Item .eslintcache -ErrorAction SilentlyContinue</t>
    <phoneticPr fontId="1"/>
  </si>
  <si>
    <t># scriptsフォルダを作成
New-Item -ItemType Directory -Path scripts -Force</t>
    <phoneticPr fontId="1"/>
  </si>
  <si>
    <t>Google DriveとCursorとClaude Opus4でAI-CICDフローを確立してください。
https://github.com/umezawakanta/work-time-tracker</t>
    <phoneticPr fontId="1"/>
  </si>
  <si>
    <t>ChatGPT</t>
    <phoneticPr fontId="1"/>
  </si>
  <si>
    <t>以下の手順で、Google Drive をアーティファクト保存先とし、Cursor と Claude Opus 4 を AI アシスタントとして組み込んだ CI/CD ワークフローを GitHub Actions 上に構築できます。</t>
  </si>
  <si>
    <t>1. 概要</t>
  </si>
  <si>
    <t>1. 開発者ローカル</t>
  </si>
  <si>
    <t>Cursor: コード補完・リファクタリング支援</t>
  </si>
  <si>
    <t>2. GitHub Actions</t>
  </si>
  <si>
    <t>ビルド→テスト</t>
  </si>
  <si>
    <t>Claude Opus 4 で追加テスト生成・コードレビュー</t>
  </si>
  <si>
    <t>Cursor CLI でドキュメント生成</t>
  </si>
  <si>
    <t>成果物（テストレポート・カバレッジなど）を Google Drive にアップロード</t>
  </si>
  <si>
    <t>3. デプロイ</t>
  </si>
  <si>
    <t>（例）Vercel や Firebase Hosting などへの自動デプロイ</t>
  </si>
  <si>
    <t>2. 前提条件</t>
  </si>
  <si>
    <t>1. Google Drive API</t>
  </si>
  <si>
    <t>GCP コンソールで Drive API を有効化</t>
  </si>
  <si>
    <t>サービスアカウント or OAuth クライアントを作成し、アクセストークンを取得</t>
  </si>
  <si>
    <t>アップロード先フォルダ ID を控える</t>
  </si>
  <si>
    <t>2. Claude Opus 4 API</t>
  </si>
  <si>
    <t>Anthropic コンソールで API キー取得</t>
  </si>
  <si>
    <t>3. Cursor CLI</t>
  </si>
  <si>
    <r>
      <t>npm / Homebrew などでインストール (</t>
    </r>
    <r>
      <rPr>
        <sz val="10"/>
        <color theme="1"/>
        <rFont val="Arial Unicode MS"/>
        <family val="2"/>
      </rPr>
      <t>npm install -g @cursor.dev/cli</t>
    </r>
    <r>
      <rPr>
        <sz val="11"/>
        <color theme="1"/>
        <rFont val="ＭＳ Ｐゴシック"/>
        <family val="2"/>
        <scheme val="minor"/>
      </rPr>
      <t xml:space="preserve"> 等)</t>
    </r>
  </si>
  <si>
    <t>API キーを取得</t>
  </si>
  <si>
    <t>4. GitHub リポジトリの Secrets</t>
  </si>
  <si>
    <r>
      <t>GDRIVE_CREDENTIALS</t>
    </r>
    <r>
      <rPr>
        <sz val="11"/>
        <color theme="1"/>
        <rFont val="ＭＳ Ｐゴシック"/>
        <family val="2"/>
        <scheme val="minor"/>
      </rPr>
      <t>（JSON 文字列）</t>
    </r>
  </si>
  <si>
    <t>GDRIVE_FOLDER_ID</t>
  </si>
  <si>
    <t>CLAUDE_API_KEY</t>
  </si>
  <si>
    <t>CURSOR_API_KEY</t>
  </si>
  <si>
    <t>3. GitHub Actions ワークフロー例</t>
  </si>
  <si>
    <r>
      <t>.github/workflows/ai-cicd.yml</t>
    </r>
    <r>
      <rPr>
        <sz val="11"/>
        <color theme="1"/>
        <rFont val="ＭＳ Ｐゴシック"/>
        <family val="2"/>
        <scheme val="minor"/>
      </rPr>
      <t xml:space="preserve"> を以下のように作成します。</t>
    </r>
  </si>
  <si>
    <t>name: AI-CICD</t>
  </si>
  <si>
    <t>on:</t>
  </si>
  <si>
    <t xml:space="preserve">  push:</t>
  </si>
  <si>
    <t xml:space="preserve">    branches: [ main ]</t>
  </si>
  <si>
    <t xml:space="preserve">  pull_request:</t>
  </si>
  <si>
    <t>jobs:</t>
  </si>
  <si>
    <t xml:space="preserve">  ai-cicd:</t>
  </si>
  <si>
    <t xml:space="preserve">    runs-on: ubuntu-latest</t>
  </si>
  <si>
    <t xml:space="preserve">    steps:</t>
  </si>
  <si>
    <t xml:space="preserve">      # 1) コード取得と Node.js 準備</t>
  </si>
  <si>
    <t xml:space="preserve">      - uses: actions/checkout@v3</t>
  </si>
  <si>
    <t xml:space="preserve">      - uses: actions/setup-node@v3</t>
  </si>
  <si>
    <t xml:space="preserve">        with:</t>
  </si>
  <si>
    <t xml:space="preserve">          node-version: '18'</t>
  </si>
  <si>
    <t xml:space="preserve">      - run: |</t>
  </si>
  <si>
    <t xml:space="preserve">          pnpm install</t>
  </si>
  <si>
    <t xml:space="preserve">          pnpm build</t>
  </si>
  <si>
    <t xml:space="preserve">      # 2) 通常テスト実行</t>
  </si>
  <si>
    <t xml:space="preserve">      - name: Run tests</t>
  </si>
  <si>
    <t xml:space="preserve">        run: pnpm test -- --coverage</t>
  </si>
  <si>
    <t xml:space="preserve">      # 3) Claude Opus 4 による追加テスト生成</t>
  </si>
  <si>
    <t xml:space="preserve">      - name: Generate tests with Claude Opus4</t>
  </si>
  <si>
    <t xml:space="preserve">        env:</t>
  </si>
  <si>
    <t xml:space="preserve">          ANTHROPIC_API_KEY: ${{ secrets.CLAUDE_API_KEY }}</t>
  </si>
  <si>
    <t xml:space="preserve">        run: |</t>
  </si>
  <si>
    <t xml:space="preserve">          curl https://api.anthropic.com/v1/complete \</t>
  </si>
  <si>
    <t xml:space="preserve">            -H "x-api-key: $ANTHROPIC_API_KEY" \</t>
  </si>
  <si>
    <t xml:space="preserve">            -H "Content-Type: application/json" \</t>
  </si>
  <si>
    <t xml:space="preserve">            -d '{</t>
  </si>
  <si>
    <t xml:space="preserve">              "model":"claude-ops-4",</t>
  </si>
  <si>
    <t xml:space="preserve">              "prompt":"以下の差分に対してユニットテストを生成してください：\n'$(git diff origin/main --name-only)'\n出力はJavaScriptで。"</t>
  </si>
  <si>
    <t xml:space="preserve">            }' \</t>
  </si>
  <si>
    <t xml:space="preserve">            &gt; ai-generated-tests.js</t>
  </si>
  <si>
    <t xml:space="preserve">      - name: Run AI-generated tests</t>
  </si>
  <si>
    <t xml:space="preserve">        run: node ai-generated-tests.js</t>
  </si>
  <si>
    <t xml:space="preserve">      # 4) Cursor CLI によるドキュメント生成</t>
  </si>
  <si>
    <t xml:space="preserve">      - name: Generate docs with Cursor</t>
  </si>
  <si>
    <t xml:space="preserve">          CURSOR_API_KEY: ${{ secrets.CURSOR_API_KEY }}</t>
  </si>
  <si>
    <t xml:space="preserve">          cursor docgen --source src/ --out docs/AI_DOCS.md</t>
  </si>
  <si>
    <t xml:space="preserve">      # 5) テストレポートを Google Drive にアップロード</t>
  </si>
  <si>
    <t xml:space="preserve">      - name: Upload coverage report to Google Drive</t>
  </si>
  <si>
    <t xml:space="preserve">        uses: google-github-actions/upload-drive@v0</t>
  </si>
  <si>
    <t xml:space="preserve">          credentials_json: ${{ secrets.GDRIVE_CREDENTIALS }}</t>
  </si>
  <si>
    <t xml:space="preserve">          folder_id: ${{ secrets.GDRIVE_FOLDER_ID }}</t>
  </si>
  <si>
    <t xml:space="preserve">          src: coverage/**</t>
  </si>
  <si>
    <t xml:space="preserve">      # 6) （必要に応じて）デプロイ</t>
  </si>
  <si>
    <t xml:space="preserve">      - name: Deploy to Vercel</t>
  </si>
  <si>
    <t xml:space="preserve">        uses: amondnet/vercel-action@v20</t>
  </si>
  <si>
    <t xml:space="preserve">          vercel-token: ${{ secrets.VERCEL_TOKEN }}</t>
  </si>
  <si>
    <t xml:space="preserve">          vercel-args: "--prod"</t>
  </si>
  <si>
    <t>ポイント解説</t>
  </si>
  <si>
    <r>
      <t>Claude Opus 4</t>
    </r>
    <r>
      <rPr>
        <sz val="11"/>
        <color theme="1"/>
        <rFont val="ＭＳ Ｐゴシック"/>
        <family val="2"/>
        <scheme val="minor"/>
      </rPr>
      <t>：差分を渡してユニットテストやコードレビューコメントを自動生成</t>
    </r>
  </si>
  <si>
    <r>
      <t>Cursor CLI</t>
    </r>
    <r>
      <rPr>
        <sz val="11"/>
        <color theme="1"/>
        <rFont val="ＭＳ Ｐゴシック"/>
        <family val="2"/>
        <scheme val="minor"/>
      </rPr>
      <t>：コードベースからドキュメントを生成</t>
    </r>
  </si>
  <si>
    <r>
      <t>Google Drive</t>
    </r>
    <r>
      <rPr>
        <sz val="11"/>
        <color theme="1"/>
        <rFont val="ＭＳ Ｐゴシック"/>
        <family val="2"/>
        <scheme val="minor"/>
      </rPr>
      <t>：成果物（カバレッジレポートや AI が書いたドキュメント）を一元管理</t>
    </r>
  </si>
  <si>
    <r>
      <t>GitHub Secrets</t>
    </r>
    <r>
      <rPr>
        <sz val="11"/>
        <color theme="1"/>
        <rFont val="ＭＳ Ｐゴシック"/>
        <family val="2"/>
        <scheme val="minor"/>
      </rPr>
      <t>：API キーや認証情報を安全に保管</t>
    </r>
  </si>
  <si>
    <t>4. ローカルでの開発フロー（Cursor 活用例）</t>
  </si>
  <si>
    <r>
      <t xml:space="preserve">1. VSCode 上で </t>
    </r>
    <r>
      <rPr>
        <b/>
        <sz val="11"/>
        <color theme="1"/>
        <rFont val="ＭＳ Ｐゴシック"/>
        <family val="3"/>
        <charset val="128"/>
        <scheme val="minor"/>
      </rPr>
      <t>Cursor</t>
    </r>
    <r>
      <rPr>
        <sz val="11"/>
        <color theme="1"/>
        <rFont val="ＭＳ Ｐゴシック"/>
        <family val="2"/>
        <scheme val="minor"/>
      </rPr>
      <t xml:space="preserve"> プラグインを有効化</t>
    </r>
  </si>
  <si>
    <t>2. コーディングしながら</t>
  </si>
  <si>
    <r>
      <t>// TODO:</t>
    </r>
    <r>
      <rPr>
        <sz val="11"/>
        <color theme="1"/>
        <rFont val="ＭＳ Ｐゴシック"/>
        <family val="2"/>
        <scheme val="minor"/>
      </rPr>
      <t xml:space="preserve"> コメントを入れる</t>
    </r>
  </si>
  <si>
    <t>Cursor のコード補完でリファクタリング</t>
  </si>
  <si>
    <t>3. コードをコミット → GitHub Actions が自動で上記ワークフローを実行</t>
  </si>
  <si>
    <t>5. 運用のポイント</t>
  </si>
  <si>
    <t>モデルプロンプトのチューニング</t>
  </si>
  <si>
    <t>Claude に渡すプロンプトは、実際の差分やプロジェクト規約に合わせて調整</t>
  </si>
  <si>
    <t>成果物のバージョン管理</t>
  </si>
  <si>
    <t>Google Drive 上に日付ごとのフォルダを作成し、レポートを整理</t>
  </si>
  <si>
    <t>ガバナンス</t>
  </si>
  <si>
    <t>AI 生成コードは必ず人間がレビューし、自動マージポリシーは設定しない</t>
  </si>
  <si>
    <t>これで、Google Drive ⇆ GitHub Actions ⇆ Cursor ⇆ Claude Opus 4 の AI-CICD フローが確立され、テスト生成からドキュメント整備、成果物管理までを自動化できます。ぜひリポジトリにこのワークフローを組み込んでみてください。</t>
  </si>
  <si>
    <t>下記のやり方を詳細に説明してください。</t>
  </si>
  <si>
    <t>Google Drive API</t>
  </si>
  <si>
    <t>以下では、Google Drive API を使い始めるための手順をステップバイステップで詳細に解説します。GCP コンソール上での設定から、サービスアカウント／OAuth クライアントの作成、アクセストークン取得、そしてアップロード先フォルダ ID の把握までをカバーします。</t>
  </si>
  <si>
    <t>1. Google Drive API とは</t>
  </si>
  <si>
    <r>
      <t>Google Drive API</t>
    </r>
    <r>
      <rPr>
        <sz val="11"/>
        <color theme="1"/>
        <rFont val="ＭＳ Ｐゴシック"/>
        <family val="2"/>
        <scheme val="minor"/>
      </rPr>
      <t xml:space="preserve"> は、プログラムから Google Drive 上のファイルやフォルダを操作できる RESTful API です。</t>
    </r>
  </si>
  <si>
    <t>ファイルのアップロード・ダウンロード、フォルダの作成、権限設定などを自動化できます。</t>
  </si>
  <si>
    <t>2. GCP コンソールで Drive API を有効化</t>
  </si>
  <si>
    <r>
      <t>1. GCP コンソール</t>
    </r>
    <r>
      <rPr>
        <u/>
        <sz val="11"/>
        <color theme="10"/>
        <rFont val="ＭＳ Ｐゴシック"/>
        <family val="3"/>
        <charset val="128"/>
        <scheme val="minor"/>
      </rPr>
      <t>（https://console.cloud.google.com/ ）にアクセスし、対象のプロジェクトを選択または新規作成します。</t>
    </r>
  </si>
  <si>
    <r>
      <t xml:space="preserve">2. 左側メニューの </t>
    </r>
    <r>
      <rPr>
        <b/>
        <sz val="11"/>
        <color theme="1"/>
        <rFont val="ＭＳ Ｐゴシック"/>
        <family val="3"/>
        <charset val="128"/>
        <scheme val="minor"/>
      </rPr>
      <t>「API とサービス」 &gt; 「ライブラリ」</t>
    </r>
    <r>
      <rPr>
        <sz val="11"/>
        <color theme="1"/>
        <rFont val="ＭＳ Ｐゴシック"/>
        <family val="2"/>
        <scheme val="minor"/>
      </rPr>
      <t xml:space="preserve"> を開きます。</t>
    </r>
  </si>
  <si>
    <r>
      <t xml:space="preserve">3. 検索ボックスに「Drive API」と入力し、表示された </t>
    </r>
    <r>
      <rPr>
        <b/>
        <sz val="11"/>
        <color theme="1"/>
        <rFont val="ＭＳ Ｐゴシック"/>
        <family val="3"/>
        <charset val="128"/>
        <scheme val="minor"/>
      </rPr>
      <t>「Google Drive API」</t>
    </r>
    <r>
      <rPr>
        <sz val="11"/>
        <color theme="1"/>
        <rFont val="ＭＳ Ｐゴシック"/>
        <family val="2"/>
        <scheme val="minor"/>
      </rPr>
      <t xml:space="preserve"> をクリック。</t>
    </r>
  </si>
  <si>
    <r>
      <t xml:space="preserve">4. API の概要ページで </t>
    </r>
    <r>
      <rPr>
        <b/>
        <sz val="11"/>
        <color theme="1"/>
        <rFont val="ＭＳ Ｐゴシック"/>
        <family val="3"/>
        <charset val="128"/>
        <scheme val="minor"/>
      </rPr>
      <t>「有効にする」</t>
    </r>
    <r>
      <rPr>
        <sz val="11"/>
        <color theme="1"/>
        <rFont val="ＭＳ Ｐゴシック"/>
        <family val="2"/>
        <scheme val="minor"/>
      </rPr>
      <t xml:space="preserve"> をクリック。</t>
    </r>
  </si>
  <si>
    <t>5. 成功するとダッシュボードに「有効な API とサービス」として Drive API がリストされます。</t>
  </si>
  <si>
    <t>ポイント</t>
  </si>
  <si>
    <t>プロジェクトごとに API の有効化が必要です。</t>
  </si>
  <si>
    <t>複数プロジェクトで使う場合は、それぞれで同様の手順を行ってください。</t>
  </si>
  <si>
    <t>3. サービスアカウント or OAuth クライアントの作成とアクセストークン取得</t>
  </si>
  <si>
    <t>Drive API にアクセスする方法は大きく２通りあります。用途に応じて選んでください。</t>
  </si>
  <si>
    <t>認証方式</t>
  </si>
  <si>
    <t>用途</t>
  </si>
  <si>
    <t>サービスアカウント</t>
  </si>
  <si>
    <t>バックエンド→Drive 操作（ユーザー個別同意不要）</t>
  </si>
  <si>
    <t>OAuth クライアント</t>
  </si>
  <si>
    <t>エンドユーザーの Drive を操作（同意フローあり）</t>
  </si>
  <si>
    <t>A. サービスアカウントを使う場合</t>
  </si>
  <si>
    <r>
      <t xml:space="preserve">1. GCP コンソールの左側メニューから </t>
    </r>
    <r>
      <rPr>
        <b/>
        <sz val="11"/>
        <color theme="1"/>
        <rFont val="ＭＳ Ｐゴシック"/>
        <family val="3"/>
        <charset val="128"/>
        <scheme val="minor"/>
      </rPr>
      <t>「IAM と管理」 &gt; 「サービスアカウント」</t>
    </r>
    <r>
      <rPr>
        <sz val="11"/>
        <color theme="1"/>
        <rFont val="ＭＳ Ｐゴシック"/>
        <family val="2"/>
        <scheme val="minor"/>
      </rPr>
      <t xml:space="preserve"> を選択。</t>
    </r>
  </si>
  <si>
    <r>
      <t>2. 「サービス アカウントを作成」</t>
    </r>
    <r>
      <rPr>
        <sz val="11"/>
        <color theme="1"/>
        <rFont val="ＭＳ Ｐゴシック"/>
        <family val="2"/>
        <scheme val="minor"/>
      </rPr>
      <t xml:space="preserve"> をクリックし、</t>
    </r>
  </si>
  <si>
    <t>ID：自動生成可</t>
  </si>
  <si>
    <t>説明：任意</t>
  </si>
  <si>
    <r>
      <t xml:space="preserve">3. 次の画面で </t>
    </r>
    <r>
      <rPr>
        <b/>
        <sz val="11"/>
        <color theme="1"/>
        <rFont val="ＭＳ Ｐゴシック"/>
        <family val="3"/>
        <charset val="128"/>
        <scheme val="minor"/>
      </rPr>
      <t>ロール</t>
    </r>
    <r>
      <rPr>
        <sz val="11"/>
        <color theme="1"/>
        <rFont val="ＭＳ Ｐゴシック"/>
        <family val="2"/>
        <scheme val="minor"/>
      </rPr>
      <t xml:space="preserve"> を付与。</t>
    </r>
  </si>
  <si>
    <r>
      <t xml:space="preserve">最低限 </t>
    </r>
    <r>
      <rPr>
        <sz val="10"/>
        <color theme="1"/>
        <rFont val="Arial Unicode MS"/>
        <family val="2"/>
      </rPr>
      <t>Drive ファイル作成者</t>
    </r>
    <r>
      <rPr>
        <sz val="11"/>
        <color theme="1"/>
        <rFont val="ＭＳ Ｐゴシック"/>
        <family val="2"/>
        <scheme val="minor"/>
      </rPr>
      <t>（</t>
    </r>
    <r>
      <rPr>
        <sz val="10"/>
        <color theme="1"/>
        <rFont val="Arial Unicode MS"/>
        <family val="2"/>
      </rPr>
      <t>roles/drive.file</t>
    </r>
    <r>
      <rPr>
        <sz val="11"/>
        <color theme="1"/>
        <rFont val="ＭＳ Ｐゴシック"/>
        <family val="2"/>
        <scheme val="minor"/>
      </rPr>
      <t>）を選ぶと、作ったファイル／フォルダにのみアクセス権が付与され、安全です。</t>
    </r>
  </si>
  <si>
    <r>
      <t xml:space="preserve">4. サービスアカウント一覧に戻り、作成した行の </t>
    </r>
    <r>
      <rPr>
        <b/>
        <sz val="11"/>
        <color theme="1"/>
        <rFont val="ＭＳ Ｐゴシック"/>
        <family val="3"/>
        <charset val="128"/>
        <scheme val="minor"/>
      </rPr>
      <t>︙ &gt; 「鍵を作成」</t>
    </r>
    <r>
      <rPr>
        <sz val="11"/>
        <color theme="1"/>
        <rFont val="ＭＳ Ｐゴシック"/>
        <family val="2"/>
        <scheme val="minor"/>
      </rPr>
      <t xml:space="preserve"> を選択。</t>
    </r>
  </si>
  <si>
    <r>
      <t>5. JSON</t>
    </r>
    <r>
      <rPr>
        <sz val="11"/>
        <color theme="1"/>
        <rFont val="ＭＳ Ｐゴシック"/>
        <family val="2"/>
        <scheme val="minor"/>
      </rPr>
      <t xml:space="preserve"> 形式で鍵を生成し、マシンにダウンロード（</t>
    </r>
    <r>
      <rPr>
        <sz val="10"/>
        <color theme="1"/>
        <rFont val="Arial Unicode MS"/>
        <family val="2"/>
      </rPr>
      <t>drive-uploader-sa-xxxxx.json</t>
    </r>
    <r>
      <rPr>
        <sz val="11"/>
        <color theme="1"/>
        <rFont val="ＭＳ Ｐゴシック"/>
        <family val="2"/>
        <scheme val="minor"/>
      </rPr>
      <t>）。</t>
    </r>
  </si>
  <si>
    <t>アクセストークン取得例（gcloud CLI）</t>
  </si>
  <si>
    <t># 鍵ファイルを環境変数にセット</t>
  </si>
  <si>
    <t>export GOOGLE_APPLICATION_CREDENTIALS="/path/to/drive-uploader-sa-xxxxx.json"</t>
  </si>
  <si>
    <t># アクセストークンを取得</t>
  </si>
  <si>
    <t>gcloud auth application-default print-access-token</t>
  </si>
  <si>
    <t>このトークンを HTTP Authorization ヘッダに載せて API 呼び出しします。</t>
  </si>
  <si>
    <t>Authorization: Bearer &lt;取得したアクセストークン&gt;</t>
  </si>
  <si>
    <t>B. OAuth クライアントを使う場合</t>
  </si>
  <si>
    <r>
      <t xml:space="preserve">1. GCP コンソールの </t>
    </r>
    <r>
      <rPr>
        <b/>
        <sz val="11"/>
        <color theme="1"/>
        <rFont val="ＭＳ Ｐゴシック"/>
        <family val="3"/>
        <charset val="128"/>
        <scheme val="minor"/>
      </rPr>
      <t>「API とサービス」 &gt; 「認証情報」</t>
    </r>
    <r>
      <rPr>
        <sz val="11"/>
        <color theme="1"/>
        <rFont val="ＭＳ Ｐゴシック"/>
        <family val="2"/>
        <scheme val="minor"/>
      </rPr>
      <t xml:space="preserve"> を開き、</t>
    </r>
    <r>
      <rPr>
        <b/>
        <sz val="11"/>
        <color theme="1"/>
        <rFont val="ＭＳ Ｐゴシック"/>
        <family val="3"/>
        <charset val="128"/>
        <scheme val="minor"/>
      </rPr>
      <t>「認証情報を作成」 &gt; 「OAuth クライアント ID」</t>
    </r>
    <r>
      <rPr>
        <sz val="11"/>
        <color theme="1"/>
        <rFont val="ＭＳ Ｐゴシック"/>
        <family val="2"/>
        <scheme val="minor"/>
      </rPr>
      <t xml:space="preserve"> を選択。</t>
    </r>
  </si>
  <si>
    <r>
      <t>2. アプリケーションの種類</t>
    </r>
    <r>
      <rPr>
        <sz val="11"/>
        <color theme="1"/>
        <rFont val="ＭＳ Ｐゴシック"/>
        <family val="2"/>
        <scheme val="minor"/>
      </rPr>
      <t xml:space="preserve"> を選択（例：</t>
    </r>
    <r>
      <rPr>
        <sz val="10"/>
        <color theme="1"/>
        <rFont val="Arial Unicode MS"/>
        <family val="2"/>
      </rPr>
      <t>ウェブアプリケーション</t>
    </r>
    <r>
      <rPr>
        <sz val="11"/>
        <color theme="1"/>
        <rFont val="ＭＳ Ｐゴシック"/>
        <family val="2"/>
        <scheme val="minor"/>
      </rPr>
      <t>、</t>
    </r>
    <r>
      <rPr>
        <sz val="10"/>
        <color theme="1"/>
        <rFont val="Arial Unicode MS"/>
        <family val="2"/>
      </rPr>
      <t>デスクトップアプリ</t>
    </r>
    <r>
      <rPr>
        <sz val="11"/>
        <color theme="1"/>
        <rFont val="ＭＳ Ｐゴシック"/>
        <family val="2"/>
        <scheme val="minor"/>
      </rPr>
      <t>）。</t>
    </r>
  </si>
  <si>
    <r>
      <t>3. リダイレクト URI（例：</t>
    </r>
    <r>
      <rPr>
        <sz val="10"/>
        <color theme="1"/>
        <rFont val="Arial Unicode MS"/>
        <family val="2"/>
      </rPr>
      <t>http://localhost:8080/oauth2callback</t>
    </r>
    <r>
      <rPr>
        <sz val="11"/>
        <color theme="1"/>
        <rFont val="ＭＳ Ｐゴシック"/>
        <family val="2"/>
        <scheme val="minor"/>
      </rPr>
      <t>）を設定し、クライアント ID／秘密鍵を取得。</t>
    </r>
  </si>
  <si>
    <t>4. アプリ側でライブラリ（Google 提供の OAuth2 クライアント）を使い、認可 URL を生成。</t>
  </si>
  <si>
    <t>5. ユーザーが同意画面を通過すると、返ってきた認可コードを用いてアクセストークン／リフレッシュトークンを取得。</t>
  </si>
  <si>
    <r>
      <t>Node.js 例（</t>
    </r>
    <r>
      <rPr>
        <b/>
        <sz val="10"/>
        <color theme="1"/>
        <rFont val="Arial Unicode MS"/>
        <family val="2"/>
      </rPr>
      <t>googleapis</t>
    </r>
    <r>
      <rPr>
        <b/>
        <sz val="12"/>
        <color theme="1"/>
        <rFont val="ＭＳ Ｐゴシック"/>
        <family val="3"/>
        <charset val="128"/>
        <scheme val="minor"/>
      </rPr>
      <t xml:space="preserve"> ライブラリ）</t>
    </r>
  </si>
  <si>
    <t>import {google} from 'googleapis';</t>
  </si>
  <si>
    <t>const oauth2Client = new google.auth.OAuth2(</t>
  </si>
  <si>
    <t xml:space="preserve">  CLIENT_ID, CLIENT_SECRET, REDIRECT_URI</t>
  </si>
  <si>
    <t>);</t>
  </si>
  <si>
    <t>// 1) 認可 URL 作成</t>
  </si>
  <si>
    <t>const authUrl = oauth2Client.generateAuthUrl({</t>
  </si>
  <si>
    <t xml:space="preserve">  scope: ['https://www.googleapis.com/auth/drive.file'],</t>
  </si>
  <si>
    <t>});</t>
  </si>
  <si>
    <t>console.log('Visit this URL to authorize:', authUrl);</t>
  </si>
  <si>
    <t>// 2) コード取得後に実行</t>
  </si>
  <si>
    <t>const {tokens} = await oauth2Client.getToken(AUTHORIZATION_CODE);</t>
  </si>
  <si>
    <t>oauth2Client.setCredentials(tokens);</t>
  </si>
  <si>
    <t>// 3) アクセストークンを使って API 呼び出し</t>
  </si>
  <si>
    <t>const drive = google.drive({version: 'v3', auth: oauth2Client});</t>
  </si>
  <si>
    <t>4. アップロード先フォルダ ID を控える</t>
  </si>
  <si>
    <t>1. ブラウザで Google Drive を開き、アップロードしたいフォルダを開きます。</t>
  </si>
  <si>
    <t>2. URL の末尾にある文字列がフォルダ ID です。</t>
  </si>
  <si>
    <t>https://drive.google.com/drive/folders/**1A2bC3dEfGhIjKlMnOpQrStUvWxYz**?</t>
  </si>
  <si>
    <r>
      <t xml:space="preserve">3. その ID（この例では </t>
    </r>
    <r>
      <rPr>
        <sz val="10"/>
        <color theme="1"/>
        <rFont val="Arial Unicode MS"/>
        <family val="2"/>
      </rPr>
      <t>1A2bC3dEfGhIjKlMnOpQrStUvWxYz</t>
    </r>
    <r>
      <rPr>
        <sz val="11"/>
        <color theme="1"/>
        <rFont val="ＭＳ Ｐゴシック"/>
        <family val="2"/>
        <scheme val="minor"/>
      </rPr>
      <t>）をメモしておきます。</t>
    </r>
  </si>
  <si>
    <t>Tip</t>
  </si>
  <si>
    <r>
      <t xml:space="preserve">プログラム内で </t>
    </r>
    <r>
      <rPr>
        <sz val="10"/>
        <color theme="1"/>
        <rFont val="Arial Unicode MS"/>
        <family val="2"/>
      </rPr>
      <t>folderId</t>
    </r>
    <r>
      <rPr>
        <sz val="11"/>
        <color theme="1"/>
        <rFont val="ＭＳ Ｐゴシック"/>
        <family val="2"/>
        <scheme val="minor"/>
      </rPr>
      <t xml:space="preserve"> パラメータとして指定すると、そのフォルダ以下にファイルを作成できます。</t>
    </r>
  </si>
  <si>
    <t>サービスアカウントを使う場合は、フォルダの共有設定で「編集者」としてサービスアカウントのメールアドレスを追加する必要があります。</t>
  </si>
  <si>
    <t>以上の手順で、Google Drive API の有効化から認証情報の取得、フォルダ ID の把握まで完了です。これをベースに、CI/CD ワークフローやバッチ処理で Drive へのアップロード自動化を組み込むことができます。</t>
  </si>
  <si>
    <t>https://console.cloud.google.com/welcome?inv=1&amp;invt=AbyjMA&amp;project=ai-cicd-461122</t>
    <phoneticPr fontId="1"/>
  </si>
  <si>
    <t>https://console.cloud.google.com/apis/library?inv=1&amp;invt=AbyjMA&amp;project=ai-cicd-461122</t>
    <phoneticPr fontId="1"/>
  </si>
  <si>
    <t>https://console.cloud.google.com/marketplace/product/google/drive.googleapis.com?q=search&amp;referrer=search&amp;inv=1&amp;invt=AbyjMA&amp;project=ai-cicd-461122</t>
    <phoneticPr fontId="1"/>
  </si>
  <si>
    <t>https://console.cloud.google.com/iam-admin/serviceaccounts?inv=1&amp;invt=AbyjMA&amp;project=ai-cicd-461122</t>
    <phoneticPr fontId="1"/>
  </si>
  <si>
    <t>https://console.cloud.google.com/iam-admin/serviceaccounts/create?inv=1&amp;invt=AbyjMA&amp;project=ai-cicd-461122</t>
    <phoneticPr fontId="1"/>
  </si>
  <si>
    <r>
      <t xml:space="preserve">名前：例 </t>
    </r>
    <r>
      <rPr>
        <sz val="10"/>
        <color theme="1"/>
        <rFont val="Arial Unicode MS"/>
        <family val="2"/>
      </rPr>
      <t>drive-uploader-sa</t>
    </r>
    <phoneticPr fontId="1"/>
  </si>
  <si>
    <t>ai-cicd-461122-e27fdc150e96.json</t>
    <phoneticPr fontId="1"/>
  </si>
  <si>
    <t>pnpmとvercelとMongoDBとGiHubとOneDriveとGoogle DriveとCursorとClaude Opus4とChatGPTでAI-CICDフローを確立してください。
https://github.com/umezawakanta/work-time-tracker</t>
    <phoneticPr fontId="1"/>
  </si>
  <si>
    <t>pnpmとViteとReactとVercelとMongoDBとGitHubとOneDriveとGoogle DriveとCursorとClaude Opus4とChatGPTとGeminiとGrokとNortionとSlackとTeamsでAI-CICDフローを確立してください。 https://github.com/umezawakanta/work-time-tracker</t>
    <phoneticPr fontId="1"/>
  </si>
  <si>
    <t>Ctrl + Shift + D</t>
    <phoneticPr fontId="1"/>
  </si>
  <si>
    <t>Fix in Chat</t>
    <phoneticPr fontId="1"/>
  </si>
  <si>
    <t>Ctrl + N</t>
    <phoneticPr fontId="1"/>
  </si>
  <si>
    <t>New Text File</t>
    <phoneticPr fontId="1"/>
  </si>
  <si>
    <t>Ctrl + Enter</t>
    <phoneticPr fontId="1"/>
  </si>
  <si>
    <t>Accept All</t>
    <phoneticPr fontId="1"/>
  </si>
  <si>
    <t>Ctrl + Shift + N</t>
    <phoneticPr fontId="1"/>
  </si>
  <si>
    <t>Open New Window</t>
    <phoneticPr fontId="1"/>
  </si>
  <si>
    <t>Found 131 errors in 30 files.</t>
    <phoneticPr fontId="1"/>
  </si>
  <si>
    <t xml:space="preserve">     5  src/components/calendar/AssetCalendar.tsx:132</t>
    <phoneticPr fontId="1"/>
  </si>
  <si>
    <t>Found 126 errors in 29 files.</t>
    <phoneticPr fontId="1"/>
  </si>
  <si>
    <t xml:space="preserve">     1  src/components/chart/PoliticalLineChart.tsx:186</t>
    <phoneticPr fontId="1"/>
  </si>
  <si>
    <t>Ctrl + L</t>
    <phoneticPr fontId="1"/>
  </si>
  <si>
    <t>Add to Chat</t>
    <phoneticPr fontId="1"/>
  </si>
  <si>
    <t>Found 125 errors in 28 files.</t>
    <phoneticPr fontId="1"/>
  </si>
  <si>
    <t xml:space="preserve">     2  src/components/chart/PoliticalTrendsCard.tsx:9</t>
    <phoneticPr fontId="1"/>
  </si>
  <si>
    <t>Found 123 errors in 27 files.</t>
    <phoneticPr fontId="1"/>
  </si>
  <si>
    <t>Found 119 errors in 27 files.</t>
    <phoneticPr fontId="1"/>
  </si>
  <si>
    <t>Found 101 errors in 26 files.</t>
    <phoneticPr fontId="1"/>
  </si>
  <si>
    <t>Found 89 errors in 20 files.</t>
    <phoneticPr fontId="1"/>
  </si>
  <si>
    <t>Found 74 errors in 18 files.</t>
    <phoneticPr fontId="1"/>
  </si>
  <si>
    <t>Found 68 errors in 18 files.</t>
    <phoneticPr fontId="1"/>
  </si>
  <si>
    <t>Found 67 errors in 17 files.</t>
    <phoneticPr fontId="1"/>
  </si>
  <si>
    <t>Found 64 errors in 16 files.</t>
    <phoneticPr fontId="1"/>
  </si>
  <si>
    <t>Found 62 errors in 15 files.</t>
    <phoneticPr fontId="1"/>
  </si>
  <si>
    <t>Found 63 errors in 16 files.</t>
    <phoneticPr fontId="1"/>
  </si>
  <si>
    <t>Found 63 errors in 15 files.</t>
    <phoneticPr fontId="1"/>
  </si>
  <si>
    <t>Found 54 errors in 14 files.</t>
    <phoneticPr fontId="1"/>
  </si>
  <si>
    <t>Found 56 errors in 14 files.</t>
    <phoneticPr fontId="1"/>
  </si>
  <si>
    <t>Found 47 errors in 11 files.</t>
    <phoneticPr fontId="1"/>
  </si>
  <si>
    <t>Found 36 errors in 8 files.</t>
    <phoneticPr fontId="1"/>
  </si>
  <si>
    <t>Found 34 errors in 9 files.</t>
    <phoneticPr fontId="1"/>
  </si>
  <si>
    <t>Found 24 errors in 8 files.</t>
    <phoneticPr fontId="1"/>
  </si>
  <si>
    <t>Found 7 errors in 3 files.</t>
    <phoneticPr fontId="1"/>
  </si>
  <si>
    <t>https://github.com/umezawakanta/work-time-tracker
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</si>
  <si>
    <t>優先順位に基づいて、10分で完了するタスクに分割します！🚀</t>
  </si>
  <si>
    <t>## 📋 **AI-CICD構築 - 10分タスク分割**</t>
  </si>
  <si>
    <t>### **🎯 Phase 1: 現状確認（最初の30分）**</t>
  </si>
  <si>
    <t>#### **タスク 1-1: CI/CD設定状況確認** (10分)</t>
  </si>
  <si>
    <t>現在のGitHub ActionsとVercel設定を確認します</t>
  </si>
  <si>
    <t>Ran tool</t>
  </si>
  <si>
    <t>Read file: .github/workflows/ai-cicd.yml</t>
  </si>
  <si>
    <t>Read file: scripts/setup-ai-cicd.js</t>
  </si>
  <si>
    <t>Read file: package.json</t>
  </si>
  <si>
    <t>素晴らしい！既に非常に充実したAI-CICD基盤があります！🎉</t>
  </si>
  <si>
    <t>## 📊 **現状分析**</t>
  </si>
  <si>
    <t>✅ **既に完成している部分:**</t>
  </si>
  <si>
    <t>## 🚀 **10分タスク分割プラン**</t>
  </si>
  <si>
    <t>### **⚡ Phase 1: 即座に実行可能（各10分）**</t>
  </si>
  <si>
    <t>#### **タスク 1-1: AI-CICD環境確認と有効化** ⏱️ 10分</t>
  </si>
  <si>
    <t>```bash</t>
  </si>
  <si>
    <t># 1. 現在の設定状況確認</t>
  </si>
  <si>
    <t>pnpm run type-check</t>
  </si>
  <si>
    <t>pnpm run lint</t>
  </si>
  <si>
    <t># 2. AI機能のテスト実行</t>
  </si>
  <si>
    <t>pnpm run ai:review</t>
  </si>
  <si>
    <t>pnpm run ai:fix-errors</t>
  </si>
  <si>
    <t>```</t>
  </si>
  <si>
    <t>#### **タスク 1-2: 環境変数設定** ⏱️ 10分</t>
  </si>
  <si>
    <t># .envファイル作成</t>
  </si>
  <si>
    <t>cp .env.example .env</t>
  </si>
  <si>
    <t># APIキー設定（エディタで編集）</t>
  </si>
  <si>
    <t># - ANTHROPIC_API_KEY (Claude)</t>
  </si>
  <si>
    <t># - GOOGLE_DRIVE_FOLDER_ID</t>
  </si>
  <si>
    <t># - GOOGLE_CLOUD_PROJECT_ID</t>
  </si>
  <si>
    <t>#### **タスク 1-3: GitHub Secrets設定** ⏱️ 10分</t>
  </si>
  <si>
    <t>GitHubリポジトリ設定で以下のSecretsを追加：</t>
  </si>
  <si>
    <t>- `ANTHROPIC_API_KEY`</t>
  </si>
  <si>
    <t xml:space="preserve">- `GOOGLE_DRIVE_FOLDER_ID` </t>
  </si>
  <si>
    <t>- `VERCEL_TOKEN`</t>
  </si>
  <si>
    <t>- `MONGODB_URI`</t>
  </si>
  <si>
    <t>### **⚡ Phase 2: 機能拡張（各10分）**</t>
  </si>
  <si>
    <t>#### **タスク 2-1: Vercel連携強化** ⏱️ 10分</t>
  </si>
  <si>
    <t># Vercel設定確認</t>
  </si>
  <si>
    <t>cat vercel.json</t>
  </si>
  <si>
    <t># プレビューデプロイメント自動化</t>
  </si>
  <si>
    <t># GitHub連携確認</t>
  </si>
  <si>
    <t>#### **タスク 2-2: MongoDB Atlas連携** ⏱️ 10分</t>
  </si>
  <si>
    <t># MongoDB接続テスト</t>
  </si>
  <si>
    <t>node -e "</t>
  </si>
  <si>
    <t>const { MongoClient } = require('mongodb');</t>
  </si>
  <si>
    <t>const client = new MongoClient(process.env.MONGODB_URI);</t>
  </si>
  <si>
    <t>client.connect().then(() =&gt; {</t>
  </si>
  <si>
    <t xml:space="preserve">  console.log('✅ MongoDB接続成功');</t>
  </si>
  <si>
    <t xml:space="preserve">  client.close();</t>
  </si>
  <si>
    <t>}).catch(err =&gt; console.error('❌ 接続失敗:', err));</t>
  </si>
  <si>
    <t xml:space="preserve">
```
#### **タスク 2-3: Notion/Slack統合準備** ⏱️ 10分
新しいスクリプト作成：`scripts/integrations/notion-slack-setup.js`
### **⚡ Phase 3: 高度なAI機能（各10分）**
#### **タスク 3-1: 自動コードレビュー強化** ⏱️ 10分
#### **タスク 3-2: 自動テスト生成** ⏱️ 10分  
#### **タスク 3-3: パフォーマンス監視** ⏱️ 10分
## 🎯 **今すぐ実行するべき最優先タスク**
**タスク 1-1を実行してください:**
```bash
# 1. 現在の状態確認
pnpm run build
pnpm run type-check
pnpm run lint
# 2. AI機能テスト
pnpm run ai:fix-errors
```
これにより、現在のビルド状況とAI機能の動作状況が分かります。
**実行結果を教えてください**。次のタスクを決定します！
何かエラーが出た場合は、すぐに修正方法をお伝えします。🔧
</t>
  </si>
  <si>
    <r>
      <t xml:space="preserve">タスク 1-1: AI-CICD環境確認と有効化 </t>
    </r>
    <r>
      <rPr>
        <sz val="11"/>
        <color theme="1"/>
        <rFont val="Segoe UI Emoji"/>
        <family val="2"/>
      </rPr>
      <t>⏱️</t>
    </r>
    <r>
      <rPr>
        <sz val="11"/>
        <color theme="1"/>
        <rFont val="ＭＳ Ｐゴシック"/>
        <family val="2"/>
        <scheme val="minor"/>
      </rPr>
      <t xml:space="preserve"> 10分</t>
    </r>
    <phoneticPr fontId="1"/>
  </si>
  <si>
    <t>★</t>
    <phoneticPr fontId="1"/>
  </si>
  <si>
    <t># 1. 現在の設定状況確認
pnpm run type-check
pnpm run lint
# 2. AI機能のテスト実行
pnpm run ai:review
pnpm run ai:fix-errors</t>
    <phoneticPr fontId="1"/>
  </si>
  <si>
    <r>
      <t xml:space="preserve">タスク 1-2: ESLint警告の一括修正 </t>
    </r>
    <r>
      <rPr>
        <sz val="11"/>
        <color theme="1"/>
        <rFont val="Segoe UI Emoji"/>
        <family val="2"/>
      </rPr>
      <t>⏱️</t>
    </r>
    <r>
      <rPr>
        <sz val="11"/>
        <color theme="1"/>
        <rFont val="ＭＳ Ｐゴシック"/>
        <family val="2"/>
        <scheme val="minor"/>
      </rPr>
      <t xml:space="preserve"> 10分</t>
    </r>
    <phoneticPr fontId="1"/>
  </si>
  <si>
    <t># 1. AI自動修正の効果確認
pnpm run build
# 2. ESLint警告の自動修正（安全な修正のみ）
pnpm run lint:fix
# 3. 残存する警告の確認
pnpm run lint --max-warnings 200</t>
    <phoneticPr fontId="1"/>
  </si>
  <si>
    <t># 1. AI自動修正を更に実行
pnpm run ai:fix-errors
# 2. ESLint自動修正（安全な修正のみ）
pnpm run lint:fix
# 3. 結果確認
pnpm run lint --max-warnings 200</t>
    <phoneticPr fontId="1"/>
  </si>
  <si>
    <t># 1. ESLint自動修正実行
pnpm run lint:fix
# 2. 結果確認
pnpm run lint --max-warnings 200
# 3. ビルド確認
pnpm run build</t>
    <phoneticPr fontId="1"/>
  </si>
  <si>
    <r>
      <rPr>
        <sz val="11"/>
        <color theme="1"/>
        <rFont val="Segoe UI Symbol"/>
        <family val="2"/>
      </rPr>
      <t>🚀</t>
    </r>
    <r>
      <rPr>
        <sz val="11"/>
        <color theme="1"/>
        <rFont val="Calibri"/>
        <family val="2"/>
      </rPr>
      <t xml:space="preserve"> </t>
    </r>
    <r>
      <rPr>
        <sz val="11"/>
        <color theme="1"/>
        <rFont val="ＭＳ Ｐゴシック"/>
        <family val="2"/>
        <scheme val="minor"/>
      </rPr>
      <t>次の</t>
    </r>
    <r>
      <rPr>
        <sz val="11"/>
        <color theme="1"/>
        <rFont val="Calibri"/>
        <family val="2"/>
      </rPr>
      <t>10</t>
    </r>
    <r>
      <rPr>
        <sz val="11"/>
        <color theme="1"/>
        <rFont val="ＭＳ Ｐゴシック"/>
        <family val="2"/>
        <scheme val="minor"/>
      </rPr>
      <t>分タスク（</t>
    </r>
    <r>
      <rPr>
        <sz val="11"/>
        <color theme="1"/>
        <rFont val="Calibri"/>
        <family val="2"/>
      </rPr>
      <t>Phase 2-1</t>
    </r>
    <r>
      <rPr>
        <sz val="11"/>
        <color theme="1"/>
        <rFont val="ＭＳ Ｐゴシック"/>
        <family val="2"/>
        <scheme val="minor"/>
      </rPr>
      <t>）</t>
    </r>
    <r>
      <rPr>
        <sz val="11"/>
        <color theme="1"/>
        <rFont val="Calibri"/>
        <family val="2"/>
      </rPr>
      <t xml:space="preserve">: </t>
    </r>
    <r>
      <rPr>
        <sz val="11"/>
        <color theme="1"/>
        <rFont val="ＭＳ Ｐゴシック"/>
        <family val="2"/>
        <scheme val="minor"/>
      </rPr>
      <t>パフォーマンス最適化</t>
    </r>
    <phoneticPr fontId="1"/>
  </si>
  <si>
    <r>
      <t xml:space="preserve">タスク 2-1: バンドルサイズ最適化 </t>
    </r>
    <r>
      <rPr>
        <sz val="11"/>
        <color theme="1"/>
        <rFont val="Segoe UI Emoji"/>
        <family val="2"/>
      </rPr>
      <t>⏱️</t>
    </r>
    <r>
      <rPr>
        <sz val="11"/>
        <color theme="1"/>
        <rFont val="ＭＳ Ｐゴシック"/>
        <family val="2"/>
        <scheme val="minor"/>
      </rPr>
      <t xml:space="preserve"> 10分</t>
    </r>
    <phoneticPr fontId="1"/>
  </si>
  <si>
    <t>プロジェクトの現状を分析し、完成に向けて必要な実装を提案させていただきます。</t>
  </si>
  <si>
    <t>まず、現在のコードベースを確認させていただきます。</t>
  </si>
  <si>
    <t>現在の実装状況と、完成に向けて必要な実装を以下のカテゴリーに分けて説明します：</t>
  </si>
  <si>
    <t>1. **バックエンド実装**</t>
  </si>
  <si>
    <t xml:space="preserve">   - データベース設計と実装</t>
  </si>
  <si>
    <t xml:space="preserve">   - APIエンドポイントの実装</t>
  </si>
  <si>
    <t xml:space="preserve">   - 認証・認可システムの完成</t>
  </si>
  <si>
    <t xml:space="preserve">   - データ永続化の実装</t>
  </si>
  <si>
    <t>2. **フロントエンド実装**</t>
  </si>
  <si>
    <t xml:space="preserve">   - 各機能ページの実装</t>
  </si>
  <si>
    <t xml:space="preserve">     - 勤怠記録ページ (`/work-time`)</t>
  </si>
  <si>
    <t xml:space="preserve">     - プロジェクト管理ページ (`/integrated-dashboard`)</t>
  </si>
  <si>
    <t xml:space="preserve">     - レポート分析ページ (`/work-time-reports`)</t>
  </si>
  <si>
    <t xml:space="preserve">     - ToDo管理ページ (`/todos`)</t>
  </si>
  <si>
    <t xml:space="preserve">   - 状態管理の完成</t>
  </si>
  <si>
    <t xml:space="preserve">   - エラーハンドリングの実装</t>
  </si>
  <si>
    <t xml:space="preserve">   - ローディング状態の実装</t>
  </si>
  <si>
    <t>3. **機能実装**</t>
  </si>
  <si>
    <t xml:space="preserve">   - 勤怠記録機能</t>
  </si>
  <si>
    <t xml:space="preserve">     - 作業時間の記録</t>
  </si>
  <si>
    <t xml:space="preserve">     - 休憩時間の管理</t>
  </si>
  <si>
    <t xml:space="preserve">     - プロジェクト別の時間管理</t>
  </si>
  <si>
    <t xml:space="preserve">   - ToDo管理機能</t>
  </si>
  <si>
    <t xml:space="preserve">     - タスクのCRUD操作</t>
  </si>
  <si>
    <t xml:space="preserve">     - 優先順位付け</t>
  </si>
  <si>
    <t xml:space="preserve">     - 期限管理</t>
  </si>
  <si>
    <t xml:space="preserve">   - レポート機能</t>
  </si>
  <si>
    <t xml:space="preserve">     - 日次/週次/月次レポート</t>
  </si>
  <si>
    <t xml:space="preserve">     - 生産性分析</t>
  </si>
  <si>
    <t xml:space="preserve">     - データの可視化</t>
  </si>
  <si>
    <t>4. **UI/UX改善**</t>
  </si>
  <si>
    <t xml:space="preserve">   - レスポンシブデザインの最適化</t>
  </si>
  <si>
    <t xml:space="preserve">   - アクセシビリティ対応</t>
  </si>
  <si>
    <t xml:space="preserve">   - ダークモード対応</t>
  </si>
  <si>
    <t xml:space="preserve">   - アニメーションの追加</t>
  </si>
  <si>
    <t>5. **テスト実装**</t>
  </si>
  <si>
    <t xml:space="preserve">   - ユニットテスト</t>
  </si>
  <si>
    <t xml:space="preserve">   - 統合テスト</t>
  </si>
  <si>
    <t xml:space="preserve">   - E2Eテスト</t>
  </si>
  <si>
    <t xml:space="preserve">   - パフォーマンステスト</t>
  </si>
  <si>
    <t>6. **セキュリティ対策**</t>
  </si>
  <si>
    <t xml:space="preserve">   - 入力値のバリデーション</t>
  </si>
  <si>
    <t xml:space="preserve">   - XSS対策</t>
  </si>
  <si>
    <t xml:space="preserve">   - CSRF対策</t>
  </si>
  <si>
    <t xml:space="preserve">   - レート制限の実装</t>
  </si>
  <si>
    <t>7. **運用・保守**</t>
  </si>
  <si>
    <t xml:space="preserve">   - エラーログの実装</t>
  </si>
  <si>
    <t xml:space="preserve">   - パフォーマンスモニタリング</t>
  </si>
  <si>
    <t xml:space="preserve">   - バックアップ体制</t>
  </si>
  <si>
    <t xml:space="preserve">   - デプロイメントパイプライン</t>
  </si>
  <si>
    <t>8. **ドキュメント整備**</t>
  </si>
  <si>
    <t xml:space="preserve">   - API仕様書</t>
  </si>
  <si>
    <t xml:space="preserve">   - ユーザーマニュアル</t>
  </si>
  <si>
    <t xml:space="preserve">   - 開発者向けドキュメント</t>
  </si>
  <si>
    <t xml:space="preserve">   - セットアップガイド</t>
  </si>
  <si>
    <t>優先順位としては以下の順序で実装することをお勧めします：</t>
  </si>
  <si>
    <t>2. 認証・認可システムの完成</t>
  </si>
  <si>
    <t>3. 主要機能（勤怠記録、ToDo管理）の実装</t>
  </si>
  <si>
    <t>4. フロントエンドの各ページ実装</t>
  </si>
  <si>
    <t>5. レポート機能の実装</t>
  </si>
  <si>
    <t>6. テストの実装</t>
  </si>
  <si>
    <t>7. UI/UX改善</t>
  </si>
  <si>
    <t>8. セキュリティ対策</t>
  </si>
  <si>
    <t>9. 運用・保守機能の実装</t>
  </si>
  <si>
    <t>10. ドキュメント整備</t>
  </si>
  <si>
    <t>具体的な実装を進めるにあたり、どの部分から着手すべきかご指示いただければ、詳細な実装方針をご提案させていただきます。</t>
  </si>
  <si>
    <t>1. バックエンドの基本実装（データベース、API）</t>
    <phoneticPr fontId="1"/>
  </si>
  <si>
    <t>やる</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</si>
</sst>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
      <i/>
      <sz val="11"/>
      <color theme="1"/>
      <name val="ＭＳ Ｐゴシック"/>
      <family val="3"/>
      <charset val="128"/>
      <scheme val="minor"/>
    </font>
    <font>
      <i/>
      <sz val="11"/>
      <color rgb="FFA0A1A7"/>
      <name val="Consolas"/>
      <family val="3"/>
    </font>
    <font>
      <sz val="11"/>
      <color rgb="FF383A42"/>
      <name val="Consolas"/>
      <family val="3"/>
    </font>
    <font>
      <sz val="10"/>
      <color rgb="FF383A42"/>
      <name val="Consolas"/>
      <family val="3"/>
    </font>
    <font>
      <sz val="10"/>
      <color rgb="FF4078F2"/>
      <name val="Consolas"/>
      <family val="3"/>
    </font>
    <font>
      <b/>
      <sz val="24"/>
      <color theme="1"/>
      <name val="ＭＳ Ｐゴシック"/>
      <family val="3"/>
      <charset val="128"/>
      <scheme val="minor"/>
    </font>
    <font>
      <sz val="11"/>
      <color theme="1"/>
      <name val="Arial"/>
      <family val="2"/>
    </font>
    <font>
      <sz val="11"/>
      <color rgb="FF065FD4"/>
      <name val="Arial"/>
      <family val="2"/>
    </font>
    <font>
      <sz val="9"/>
      <color rgb="FF065FD4"/>
      <name val="Arial"/>
      <family val="2"/>
    </font>
    <font>
      <b/>
      <sz val="12"/>
      <color theme="1"/>
      <name val="ＭＳ Ｐゴシック"/>
      <family val="3"/>
      <charset val="128"/>
      <scheme val="minor"/>
    </font>
    <font>
      <b/>
      <sz val="10"/>
      <color theme="1"/>
      <name val="Arial Unicode MS"/>
      <family val="2"/>
    </font>
    <font>
      <u/>
      <sz val="11"/>
      <color theme="10"/>
      <name val="ＭＳ Ｐゴシック"/>
      <family val="3"/>
      <charset val="128"/>
      <scheme val="minor"/>
    </font>
    <font>
      <sz val="11"/>
      <color theme="1"/>
      <name val="Segoe UI Emoji"/>
      <family val="2"/>
    </font>
    <font>
      <sz val="11"/>
      <color theme="1"/>
      <name val="Segoe UI Symbol"/>
      <family val="2"/>
    </font>
    <font>
      <sz val="11"/>
      <color theme="1"/>
      <name val="Calibri"/>
      <family val="2"/>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34">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xf numFmtId="0" fontId="8" fillId="0" borderId="0" xfId="0" applyFont="1"/>
    <xf numFmtId="0" fontId="9" fillId="0" borderId="0" xfId="0" applyFont="1"/>
    <xf numFmtId="0" fontId="5" fillId="0" borderId="0" xfId="0" applyFont="1" applyAlignment="1">
      <alignment horizontal="left" vertical="center" indent="1"/>
    </xf>
    <xf numFmtId="0" fontId="11" fillId="0" borderId="0" xfId="0" applyFont="1" applyAlignment="1">
      <alignment horizontal="left" vertical="center" indent="1" readingOrder="1"/>
    </xf>
    <xf numFmtId="0" fontId="12" fillId="0" borderId="0" xfId="0" applyFont="1" applyAlignment="1">
      <alignment vertical="center"/>
    </xf>
    <xf numFmtId="0" fontId="2" fillId="0" borderId="0" xfId="1" applyAlignment="1">
      <alignment horizontal="left" vertical="center" indent="2"/>
    </xf>
    <xf numFmtId="20" fontId="0" fillId="0" borderId="0" xfId="0" applyNumberFormat="1"/>
    <xf numFmtId="0" fontId="0" fillId="0" borderId="1" xfId="0" applyBorder="1" applyAlignment="1">
      <alignment vertical="center"/>
    </xf>
    <xf numFmtId="14" fontId="0" fillId="0" borderId="1" xfId="0" applyNumberFormat="1" applyBorder="1" applyAlignment="1">
      <alignment vertical="center"/>
    </xf>
    <xf numFmtId="22" fontId="0" fillId="0" borderId="0" xfId="0" applyNumberFormat="1"/>
    <xf numFmtId="20" fontId="0" fillId="0" borderId="1" xfId="0" applyNumberFormat="1" applyBorder="1" applyAlignment="1">
      <alignment vertical="center"/>
    </xf>
    <xf numFmtId="14" fontId="0" fillId="0" borderId="1" xfId="0" applyNumberFormat="1" applyBorder="1"/>
    <xf numFmtId="0" fontId="0" fillId="0" borderId="1" xfId="0" applyBorder="1"/>
    <xf numFmtId="20" fontId="14" fillId="0" borderId="0" xfId="0" applyNumberFormat="1" applyFont="1" applyAlignment="1">
      <alignment vertical="center"/>
    </xf>
    <xf numFmtId="0" fontId="13" fillId="0" borderId="0" xfId="0" applyFont="1" applyAlignment="1">
      <alignment vertical="center"/>
    </xf>
    <xf numFmtId="20" fontId="15" fillId="0" borderId="0" xfId="0" applyNumberFormat="1" applyFont="1" applyAlignment="1">
      <alignment vertical="center" wrapText="1"/>
    </xf>
    <xf numFmtId="0" fontId="0" fillId="0" borderId="0" xfId="0" applyAlignment="1">
      <alignment vertical="center"/>
    </xf>
    <xf numFmtId="0" fontId="5" fillId="0" borderId="0" xfId="0" applyFont="1"/>
    <xf numFmtId="0" fontId="5" fillId="0" borderId="0" xfId="0" applyFont="1" applyAlignment="1">
      <alignment horizontal="left" vertical="center" indent="2"/>
    </xf>
    <xf numFmtId="0" fontId="6" fillId="0" borderId="0" xfId="0" applyFont="1" applyAlignment="1">
      <alignment horizontal="left" vertical="center" indent="2"/>
    </xf>
    <xf numFmtId="0" fontId="2" fillId="0" borderId="0" xfId="1" applyAlignment="1">
      <alignment horizontal="left" vertical="center" indent="1"/>
    </xf>
    <xf numFmtId="0" fontId="6" fillId="0" borderId="0" xfId="0" applyFont="1" applyAlignment="1">
      <alignment horizontal="center" vertical="center" wrapText="1"/>
    </xf>
    <xf numFmtId="0" fontId="0" fillId="0" borderId="0" xfId="0" applyAlignment="1">
      <alignment vertical="center" wrapText="1"/>
    </xf>
    <xf numFmtId="0" fontId="16" fillId="0" borderId="0" xfId="0" applyFont="1" applyAlignment="1">
      <alignment vertical="center"/>
    </xf>
  </cellXfs>
  <cellStyles count="2">
    <cellStyle name="ハイパーリンク" xfId="1" builtinId="8"/>
    <cellStyle name="標準" xfId="0" builtinId="0"/>
  </cellStyles>
  <dxfs count="3">
    <dxf>
      <fill>
        <patternFill>
          <bgColor rgb="FFFF0000"/>
        </patternFill>
      </fill>
    </dxf>
    <dxf>
      <fill>
        <patternFill>
          <bgColor theme="9" tint="0.79998168889431442"/>
        </patternFill>
      </fill>
    </dxf>
    <dxf>
      <fill>
        <patternFill>
          <bgColor theme="6"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5512D116-5CC6-11CF-8D67-00AA00BDCE1D}" ax:persistence="persistStream"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41</xdr:row>
          <xdr:rowOff>0</xdr:rowOff>
        </xdr:from>
        <xdr:to>
          <xdr:col>1</xdr:col>
          <xdr:colOff>257175</xdr:colOff>
          <xdr:row>42</xdr:row>
          <xdr:rowOff>76200</xdr:rowOff>
        </xdr:to>
        <xdr:sp macro="" textlink="">
          <xdr:nvSpPr>
            <xdr:cNvPr id="9217" name="Control 1" hidden="1">
              <a:extLst>
                <a:ext uri="{63B3BB69-23CF-44E3-9099-C40C66FF867C}">
                  <a14:compatExt spid="_x0000_s9217"/>
                </a:ext>
                <a:ext uri="{FF2B5EF4-FFF2-40B4-BE49-F238E27FC236}">
                  <a16:creationId xmlns:a16="http://schemas.microsoft.com/office/drawing/2014/main" id="{00000000-0008-0000-0100-0000012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makersuite.google.com/app/apikey" TargetMode="External"/><Relationship Id="rId6" Type="http://schemas.openxmlformats.org/officeDocument/2006/relationships/image" Target="../media/image1.emf"/><Relationship Id="rId5" Type="http://schemas.openxmlformats.org/officeDocument/2006/relationships/control" Target="../activeX/activeX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home.tsx/"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hyperlink" Target="https://console.cloud.google.com/apis/library?inv=1&amp;invt=AbyjMA&amp;project=ai-cicd-461122" TargetMode="External"/><Relationship Id="rId2" Type="http://schemas.openxmlformats.org/officeDocument/2006/relationships/hyperlink" Target="https://console.cloud.google.com/welcome?inv=1&amp;invt=AbyjMA&amp;project=ai-cicd-461122"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iam-admin/serviceaccounts/create?inv=1&amp;invt=AbyjMA&amp;project=ai-cicd-461122" TargetMode="External"/><Relationship Id="rId5" Type="http://schemas.openxmlformats.org/officeDocument/2006/relationships/hyperlink" Target="https://console.cloud.google.com/iam-admin/serviceaccounts?inv=1&amp;invt=AbyjMA&amp;project=ai-cicd-461122" TargetMode="External"/><Relationship Id="rId4" Type="http://schemas.openxmlformats.org/officeDocument/2006/relationships/hyperlink" Target="https://console.cloud.google.com/marketplace/product/google/drive.googleapis.com?q=search&amp;referrer=search&amp;inv=1&amp;invt=AbyjMA&amp;project=ai-cicd-461122" TargetMode="Externa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hyperlink" Target="https://www.youtube.com/watch?v=fZRXe4aAzkg" TargetMode="Externa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8.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E22"/>
  <sheetViews>
    <sheetView zoomScale="85" zoomScaleNormal="85" workbookViewId="0">
      <selection activeCell="E22" sqref="E22"/>
    </sheetView>
  </sheetViews>
  <sheetFormatPr defaultRowHeight="13.5"/>
  <cols>
    <col min="4" max="4" width="61.125" bestFit="1" customWidth="1"/>
    <col min="5" max="5" width="26.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row r="11" spans="4:4">
      <c r="D11" t="s">
        <v>95</v>
      </c>
    </row>
    <row r="12" spans="4:4">
      <c r="D12" t="s">
        <v>96</v>
      </c>
    </row>
    <row r="13" spans="4:4">
      <c r="D13" t="s">
        <v>97</v>
      </c>
    </row>
    <row r="14" spans="4:4">
      <c r="D14" t="s">
        <v>140</v>
      </c>
    </row>
    <row r="15" spans="4:4">
      <c r="D15" t="s">
        <v>141</v>
      </c>
    </row>
    <row r="16" spans="4:4" ht="40.5">
      <c r="D16" s="3" t="s">
        <v>142</v>
      </c>
    </row>
    <row r="17" spans="4:5">
      <c r="D17" t="s">
        <v>143</v>
      </c>
    </row>
    <row r="18" spans="4:5">
      <c r="D18" t="s">
        <v>145</v>
      </c>
    </row>
    <row r="19" spans="4:5">
      <c r="D19" t="s">
        <v>146</v>
      </c>
    </row>
    <row r="20" spans="4:5">
      <c r="D20" t="s">
        <v>178</v>
      </c>
    </row>
    <row r="21" spans="4:5" ht="94.5">
      <c r="D21" t="s">
        <v>181</v>
      </c>
      <c r="E21" s="3" t="s">
        <v>182</v>
      </c>
    </row>
    <row r="22" spans="4:5">
      <c r="D22" t="s">
        <v>183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18F96-9DED-4C44-AAF0-D4A9C9E57DCB}">
  <sheetPr codeName="Sheet1"/>
  <dimension ref="B3:B109"/>
  <sheetViews>
    <sheetView topLeftCell="A51" workbookViewId="0">
      <selection activeCell="D62" sqref="D62"/>
    </sheetView>
  </sheetViews>
  <sheetFormatPr defaultRowHeight="13.5"/>
  <sheetData>
    <row r="3" spans="2:2">
      <c r="B3" t="s">
        <v>184</v>
      </c>
    </row>
    <row r="5" spans="2:2">
      <c r="B5" t="s">
        <v>185</v>
      </c>
    </row>
    <row r="6" spans="2:2">
      <c r="B6" s="7"/>
    </row>
    <row r="7" spans="2:2">
      <c r="B7" s="7" t="s">
        <v>186</v>
      </c>
    </row>
    <row r="8" spans="2:2">
      <c r="B8" s="7" t="s">
        <v>187</v>
      </c>
    </row>
    <row r="9" spans="2:2">
      <c r="B9" s="7" t="s">
        <v>188</v>
      </c>
    </row>
    <row r="10" spans="2:2">
      <c r="B10" s="7" t="s">
        <v>189</v>
      </c>
    </row>
    <row r="11" spans="2:2">
      <c r="B11" s="7" t="s">
        <v>190</v>
      </c>
    </row>
    <row r="13" spans="2:2">
      <c r="B13" t="s">
        <v>191</v>
      </c>
    </row>
    <row r="15" spans="2:2">
      <c r="B15" t="s">
        <v>192</v>
      </c>
    </row>
    <row r="17" spans="2:2" ht="15">
      <c r="B17" s="10" t="s">
        <v>193</v>
      </c>
    </row>
    <row r="19" spans="2:2" ht="15">
      <c r="B19" s="11" t="s">
        <v>194</v>
      </c>
    </row>
    <row r="21" spans="2:2">
      <c r="B21" t="s">
        <v>195</v>
      </c>
    </row>
    <row r="22" spans="2:2">
      <c r="B22" s="7"/>
    </row>
    <row r="23" spans="2:2">
      <c r="B23" s="8" t="s">
        <v>196</v>
      </c>
    </row>
    <row r="24" spans="2:2">
      <c r="B24" s="9" t="s">
        <v>197</v>
      </c>
    </row>
    <row r="25" spans="2:2">
      <c r="B25" s="9" t="s">
        <v>198</v>
      </c>
    </row>
    <row r="26" spans="2:2">
      <c r="B26" s="8" t="s">
        <v>199</v>
      </c>
    </row>
    <row r="27" spans="2:2">
      <c r="B27" s="9" t="s">
        <v>200</v>
      </c>
    </row>
    <row r="28" spans="2:2">
      <c r="B28" s="9" t="s">
        <v>201</v>
      </c>
    </row>
    <row r="29" spans="2:2">
      <c r="B29" s="9" t="s">
        <v>202</v>
      </c>
    </row>
    <row r="30" spans="2:2">
      <c r="B30" s="8" t="s">
        <v>203</v>
      </c>
    </row>
    <row r="31" spans="2:2">
      <c r="B31" s="9" t="s">
        <v>204</v>
      </c>
    </row>
    <row r="32" spans="2:2">
      <c r="B32" s="9" t="s">
        <v>205</v>
      </c>
    </row>
    <row r="33" spans="2:2">
      <c r="B33" s="9" t="s">
        <v>206</v>
      </c>
    </row>
    <row r="35" spans="2:2" ht="16.5">
      <c r="B35" s="5" t="s">
        <v>207</v>
      </c>
    </row>
    <row r="36" spans="2:2">
      <c r="B36" s="7"/>
    </row>
    <row r="37" spans="2:2">
      <c r="B37" s="7" t="s">
        <v>223</v>
      </c>
    </row>
    <row r="38" spans="2:2">
      <c r="B38" s="12" t="s">
        <v>208</v>
      </c>
    </row>
    <row r="39" spans="2:2">
      <c r="B39" s="7" t="s">
        <v>209</v>
      </c>
    </row>
    <row r="40" spans="2:2">
      <c r="B40" s="7" t="s">
        <v>210</v>
      </c>
    </row>
    <row r="41" spans="2:2">
      <c r="B41" s="6"/>
    </row>
    <row r="42" spans="2:2">
      <c r="B42" s="6"/>
    </row>
    <row r="43" spans="2:2">
      <c r="B43" s="6" t="s">
        <v>211</v>
      </c>
    </row>
    <row r="44" spans="2:2">
      <c r="B44" s="13" t="s">
        <v>212</v>
      </c>
    </row>
    <row r="46" spans="2:2" ht="16.5">
      <c r="B46" s="5" t="s">
        <v>213</v>
      </c>
    </row>
    <row r="47" spans="2:2">
      <c r="B47" s="7"/>
    </row>
    <row r="48" spans="2:2">
      <c r="B48" s="7" t="s">
        <v>214</v>
      </c>
    </row>
    <row r="49" spans="2:2">
      <c r="B49" s="7" t="s">
        <v>215</v>
      </c>
    </row>
    <row r="50" spans="2:2">
      <c r="B50" s="7" t="s">
        <v>216</v>
      </c>
    </row>
    <row r="51" spans="2:2">
      <c r="B51" s="9" t="s">
        <v>217</v>
      </c>
    </row>
    <row r="52" spans="2:2">
      <c r="B52" s="9" t="s">
        <v>218</v>
      </c>
    </row>
    <row r="53" spans="2:2">
      <c r="B53" s="7" t="s">
        <v>219</v>
      </c>
    </row>
    <row r="54" spans="2:2">
      <c r="B54" s="7" t="s">
        <v>220</v>
      </c>
    </row>
    <row r="56" spans="2:2">
      <c r="B56" t="s">
        <v>221</v>
      </c>
    </row>
    <row r="58" spans="2:2">
      <c r="B58" t="s">
        <v>222</v>
      </c>
    </row>
    <row r="60" spans="2:2" ht="28.5">
      <c r="B60" s="14" t="s">
        <v>224</v>
      </c>
    </row>
    <row r="62" spans="2:2">
      <c r="B62" t="s">
        <v>225</v>
      </c>
    </row>
    <row r="63" spans="2:2">
      <c r="B63" s="7"/>
    </row>
    <row r="64" spans="2:2">
      <c r="B64" s="8" t="s">
        <v>226</v>
      </c>
    </row>
    <row r="65" spans="2:2">
      <c r="B65" s="7"/>
    </row>
    <row r="66" spans="2:2">
      <c r="B66" s="7"/>
    </row>
    <row r="67" spans="2:2">
      <c r="B67" s="15" t="s">
        <v>227</v>
      </c>
    </row>
    <row r="68" spans="2:2">
      <c r="B68" s="9" t="s">
        <v>228</v>
      </c>
    </row>
    <row r="69" spans="2:2">
      <c r="B69" s="7"/>
    </row>
    <row r="70" spans="2:2">
      <c r="B70" s="8" t="s">
        <v>229</v>
      </c>
    </row>
    <row r="71" spans="2:2">
      <c r="B71" s="7"/>
    </row>
    <row r="72" spans="2:2">
      <c r="B72" s="7"/>
    </row>
    <row r="73" spans="2:2">
      <c r="B73" s="9" t="s">
        <v>230</v>
      </c>
    </row>
    <row r="74" spans="2:2">
      <c r="B74" s="9" t="s">
        <v>231</v>
      </c>
    </row>
    <row r="75" spans="2:2">
      <c r="B75" s="7"/>
    </row>
    <row r="76" spans="2:2">
      <c r="B76" s="8" t="s">
        <v>232</v>
      </c>
    </row>
    <row r="77" spans="2:2">
      <c r="B77" s="7"/>
    </row>
    <row r="78" spans="2:2">
      <c r="B78" s="7"/>
    </row>
    <row r="79" spans="2:2">
      <c r="B79" s="9" t="s">
        <v>233</v>
      </c>
    </row>
    <row r="80" spans="2:2">
      <c r="B80" s="9" t="s">
        <v>234</v>
      </c>
    </row>
    <row r="81" spans="2:2">
      <c r="B81" s="9" t="s">
        <v>235</v>
      </c>
    </row>
    <row r="82" spans="2:2">
      <c r="B82" s="7"/>
    </row>
    <row r="83" spans="2:2">
      <c r="B83" s="8" t="s">
        <v>236</v>
      </c>
    </row>
    <row r="84" spans="2:2">
      <c r="B84" s="7"/>
    </row>
    <row r="85" spans="2:2">
      <c r="B85" s="7"/>
    </row>
    <row r="86" spans="2:2">
      <c r="B86" s="9" t="s">
        <v>237</v>
      </c>
    </row>
    <row r="87" spans="2:2">
      <c r="B87" s="9" t="s">
        <v>238</v>
      </c>
    </row>
    <row r="88" spans="2:2">
      <c r="B88" s="9" t="s">
        <v>239</v>
      </c>
    </row>
    <row r="89" spans="2:2">
      <c r="B89" s="7"/>
    </row>
    <row r="90" spans="2:2">
      <c r="B90" s="8" t="s">
        <v>240</v>
      </c>
    </row>
    <row r="91" spans="2:2">
      <c r="B91" s="7"/>
    </row>
    <row r="92" spans="2:2">
      <c r="B92" s="7"/>
    </row>
    <row r="93" spans="2:2">
      <c r="B93" s="9" t="s">
        <v>241</v>
      </c>
    </row>
    <row r="94" spans="2:2">
      <c r="B94" s="9" t="s">
        <v>242</v>
      </c>
    </row>
    <row r="95" spans="2:2">
      <c r="B95" s="7"/>
    </row>
    <row r="96" spans="2:2">
      <c r="B96" s="8" t="s">
        <v>243</v>
      </c>
    </row>
    <row r="97" spans="2:2">
      <c r="B97" s="7"/>
    </row>
    <row r="98" spans="2:2">
      <c r="B98" s="7"/>
    </row>
    <row r="99" spans="2:2">
      <c r="B99" s="9" t="s">
        <v>244</v>
      </c>
    </row>
    <row r="100" spans="2:2">
      <c r="B100" s="7"/>
    </row>
    <row r="101" spans="2:2">
      <c r="B101" s="12" t="s">
        <v>245</v>
      </c>
    </row>
    <row r="103" spans="2:2">
      <c r="B103" t="s">
        <v>246</v>
      </c>
    </row>
    <row r="104" spans="2:2">
      <c r="B104" s="7"/>
    </row>
    <row r="105" spans="2:2">
      <c r="B105" s="7" t="s">
        <v>247</v>
      </c>
    </row>
    <row r="106" spans="2:2">
      <c r="B106" s="7" t="s">
        <v>248</v>
      </c>
    </row>
    <row r="107" spans="2:2">
      <c r="B107" s="7" t="s">
        <v>249</v>
      </c>
    </row>
    <row r="109" spans="2:2">
      <c r="B109" t="s">
        <v>250</v>
      </c>
    </row>
  </sheetData>
  <phoneticPr fontId="1"/>
  <hyperlinks>
    <hyperlink ref="B67" r:id="rId1" display="https://makersuite.google.com/app/apikey" xr:uid="{771DD001-7E09-4F62-86F2-758C98D1481F}"/>
  </hyperlinks>
  <pageMargins left="0.7" right="0.7" top="0.75" bottom="0.75" header="0.3" footer="0.3"/>
  <pageSetup paperSize="9" orientation="portrait" r:id="rId2"/>
  <drawing r:id="rId3"/>
  <legacyDrawing r:id="rId4"/>
  <controls>
    <mc:AlternateContent xmlns:mc="http://schemas.openxmlformats.org/markup-compatibility/2006">
      <mc:Choice Requires="x14">
        <control shapeId="9217" r:id="rId5" name="Control 1">
          <controlPr defaultSize="0" r:id="rId6">
            <anchor moveWithCells="1">
              <from>
                <xdr:col>1</xdr:col>
                <xdr:colOff>0</xdr:colOff>
                <xdr:row>41</xdr:row>
                <xdr:rowOff>0</xdr:rowOff>
              </from>
              <to>
                <xdr:col>1</xdr:col>
                <xdr:colOff>257175</xdr:colOff>
                <xdr:row>42</xdr:row>
                <xdr:rowOff>76200</xdr:rowOff>
              </to>
            </anchor>
          </controlPr>
        </control>
      </mc:Choice>
      <mc:Fallback>
        <control shapeId="9217" r:id="rId5" name="Control 1"/>
      </mc:Fallback>
    </mc:AlternateContent>
  </control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56405-9D17-4273-BBE4-E9A6DC809FCB}">
  <dimension ref="C3:E3"/>
  <sheetViews>
    <sheetView workbookViewId="0">
      <selection activeCell="E4" sqref="E4"/>
    </sheetView>
  </sheetViews>
  <sheetFormatPr defaultRowHeight="13.5"/>
  <cols>
    <col min="3" max="3" width="31.875" bestFit="1" customWidth="1"/>
    <col min="4" max="4" width="23" bestFit="1" customWidth="1"/>
  </cols>
  <sheetData>
    <row r="3" spans="3:5">
      <c r="C3" t="s">
        <v>179</v>
      </c>
      <c r="D3" t="s">
        <v>180</v>
      </c>
      <c r="E3">
        <v>6.25</v>
      </c>
    </row>
  </sheetData>
  <phoneticPr fontId="1"/>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3"/>
  <sheetViews>
    <sheetView topLeftCell="A8" workbookViewId="0">
      <selection activeCell="D33" sqref="D33"/>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B5+1</f>
        <v>3</v>
      </c>
      <c r="C6" t="s">
        <v>13</v>
      </c>
      <c r="D6" t="s">
        <v>11</v>
      </c>
      <c r="E6" t="s">
        <v>14</v>
      </c>
      <c r="F6" s="1">
        <v>45729</v>
      </c>
    </row>
    <row r="7" spans="2:6" ht="40.5">
      <c r="B7">
        <f>B6+1</f>
        <v>4</v>
      </c>
      <c r="C7" t="s">
        <v>18</v>
      </c>
      <c r="D7" t="s">
        <v>11</v>
      </c>
      <c r="E7" s="3" t="s">
        <v>19</v>
      </c>
      <c r="F7" s="1">
        <v>45729</v>
      </c>
    </row>
    <row r="8" spans="2:6" ht="27">
      <c r="B8">
        <f>B7+1</f>
        <v>5</v>
      </c>
      <c r="C8" s="3" t="s">
        <v>20</v>
      </c>
      <c r="D8" t="s">
        <v>11</v>
      </c>
      <c r="E8" t="s">
        <v>21</v>
      </c>
      <c r="F8" s="1">
        <v>45731</v>
      </c>
    </row>
    <row r="9" spans="2:6" ht="54">
      <c r="B9">
        <f>B8+1</f>
        <v>6</v>
      </c>
      <c r="C9" s="3" t="s">
        <v>22</v>
      </c>
      <c r="D9" t="s">
        <v>11</v>
      </c>
      <c r="F9" s="1">
        <v>45735</v>
      </c>
    </row>
    <row r="10" spans="2:6" ht="27">
      <c r="B10">
        <f t="shared" ref="B10:B33" si="0">B9+1</f>
        <v>7</v>
      </c>
      <c r="C10" t="s">
        <v>54</v>
      </c>
      <c r="D10" t="s">
        <v>11</v>
      </c>
      <c r="E10" s="3" t="s">
        <v>55</v>
      </c>
      <c r="F10" s="1">
        <v>45735</v>
      </c>
    </row>
    <row r="11" spans="2:6">
      <c r="B11">
        <f t="shared" si="0"/>
        <v>8</v>
      </c>
      <c r="C11" t="s">
        <v>56</v>
      </c>
      <c r="D11" t="s">
        <v>11</v>
      </c>
      <c r="F11" s="1">
        <v>45735</v>
      </c>
    </row>
    <row r="12" spans="2:6">
      <c r="B12">
        <f t="shared" si="0"/>
        <v>9</v>
      </c>
      <c r="C12" t="s">
        <v>58</v>
      </c>
      <c r="D12" t="s">
        <v>11</v>
      </c>
      <c r="F12" s="1">
        <v>45738</v>
      </c>
    </row>
    <row r="13" spans="2:6">
      <c r="B13">
        <f t="shared" si="0"/>
        <v>10</v>
      </c>
      <c r="C13" t="s">
        <v>59</v>
      </c>
      <c r="D13" t="s">
        <v>11</v>
      </c>
      <c r="F13" s="1">
        <v>45739</v>
      </c>
    </row>
    <row r="14" spans="2:6">
      <c r="B14">
        <f t="shared" si="0"/>
        <v>11</v>
      </c>
      <c r="C14" t="s">
        <v>60</v>
      </c>
      <c r="D14" t="s">
        <v>11</v>
      </c>
      <c r="F14" s="1">
        <v>45739</v>
      </c>
    </row>
    <row r="15" spans="2:6">
      <c r="B15">
        <f t="shared" si="0"/>
        <v>12</v>
      </c>
      <c r="C15" t="s">
        <v>64</v>
      </c>
      <c r="D15" t="s">
        <v>11</v>
      </c>
      <c r="F15" s="1">
        <v>45739</v>
      </c>
    </row>
    <row r="16" spans="2:6">
      <c r="B16">
        <f t="shared" si="0"/>
        <v>13</v>
      </c>
      <c r="C16" t="s">
        <v>65</v>
      </c>
      <c r="D16" t="s">
        <v>11</v>
      </c>
      <c r="F16" s="1">
        <v>45739</v>
      </c>
    </row>
    <row r="17" spans="2:6">
      <c r="B17">
        <f t="shared" si="0"/>
        <v>14</v>
      </c>
      <c r="C17" t="s">
        <v>67</v>
      </c>
      <c r="D17" t="s">
        <v>11</v>
      </c>
      <c r="F17" s="1">
        <v>45739</v>
      </c>
    </row>
    <row r="18" spans="2:6">
      <c r="B18">
        <f t="shared" si="0"/>
        <v>15</v>
      </c>
      <c r="C18" t="s">
        <v>69</v>
      </c>
      <c r="D18" t="s">
        <v>11</v>
      </c>
      <c r="F18" s="1">
        <v>45739</v>
      </c>
    </row>
    <row r="19" spans="2:6">
      <c r="B19">
        <f t="shared" si="0"/>
        <v>16</v>
      </c>
      <c r="C19" t="s">
        <v>72</v>
      </c>
      <c r="D19" t="s">
        <v>11</v>
      </c>
      <c r="F19" s="1">
        <v>45739</v>
      </c>
    </row>
    <row r="20" spans="2:6">
      <c r="B20">
        <f t="shared" si="0"/>
        <v>17</v>
      </c>
      <c r="C20" t="s">
        <v>74</v>
      </c>
      <c r="D20" t="s">
        <v>11</v>
      </c>
      <c r="F20" s="1">
        <v>45739</v>
      </c>
    </row>
    <row r="21" spans="2:6">
      <c r="B21">
        <f t="shared" si="0"/>
        <v>18</v>
      </c>
      <c r="C21" t="s">
        <v>76</v>
      </c>
      <c r="D21" t="s">
        <v>11</v>
      </c>
      <c r="F21" s="1">
        <v>45739</v>
      </c>
    </row>
    <row r="22" spans="2:6">
      <c r="B22">
        <f t="shared" si="0"/>
        <v>19</v>
      </c>
      <c r="C22" t="s">
        <v>78</v>
      </c>
      <c r="D22" t="s">
        <v>11</v>
      </c>
      <c r="F22" s="1">
        <v>45739</v>
      </c>
    </row>
    <row r="23" spans="2:6">
      <c r="B23">
        <f t="shared" si="0"/>
        <v>20</v>
      </c>
      <c r="C23" t="s">
        <v>80</v>
      </c>
      <c r="D23" t="s">
        <v>11</v>
      </c>
      <c r="F23" s="1">
        <v>45739</v>
      </c>
    </row>
    <row r="24" spans="2:6">
      <c r="B24">
        <f t="shared" si="0"/>
        <v>21</v>
      </c>
      <c r="C24" t="s">
        <v>82</v>
      </c>
      <c r="D24" t="s">
        <v>11</v>
      </c>
      <c r="F24" s="1">
        <v>45739</v>
      </c>
    </row>
    <row r="25" spans="2:6">
      <c r="B25">
        <f t="shared" si="0"/>
        <v>22</v>
      </c>
      <c r="C25" t="s">
        <v>83</v>
      </c>
      <c r="D25" t="s">
        <v>11</v>
      </c>
      <c r="F25" s="1">
        <v>45739</v>
      </c>
    </row>
    <row r="26" spans="2:6">
      <c r="B26">
        <f t="shared" si="0"/>
        <v>23</v>
      </c>
      <c r="C26" t="s">
        <v>82</v>
      </c>
      <c r="D26" t="s">
        <v>11</v>
      </c>
      <c r="F26" s="1">
        <v>45739</v>
      </c>
    </row>
    <row r="27" spans="2:6">
      <c r="B27">
        <f t="shared" si="0"/>
        <v>24</v>
      </c>
      <c r="C27" t="s">
        <v>13</v>
      </c>
      <c r="D27" t="s">
        <v>11</v>
      </c>
      <c r="F27" s="1">
        <v>45739</v>
      </c>
    </row>
    <row r="28" spans="2:6" ht="27">
      <c r="B28">
        <f t="shared" si="0"/>
        <v>25</v>
      </c>
      <c r="C28" s="3" t="s">
        <v>88</v>
      </c>
      <c r="D28" t="s">
        <v>11</v>
      </c>
      <c r="F28" s="1">
        <v>45739</v>
      </c>
    </row>
    <row r="29" spans="2:6">
      <c r="B29">
        <f t="shared" si="0"/>
        <v>26</v>
      </c>
      <c r="C29" t="s">
        <v>89</v>
      </c>
      <c r="D29" t="s">
        <v>11</v>
      </c>
      <c r="F29" s="1">
        <v>45743</v>
      </c>
    </row>
    <row r="30" spans="2:6">
      <c r="B30">
        <f t="shared" si="0"/>
        <v>27</v>
      </c>
      <c r="C30" t="s">
        <v>93</v>
      </c>
      <c r="D30" t="s">
        <v>11</v>
      </c>
      <c r="F30" s="1">
        <v>45743</v>
      </c>
    </row>
    <row r="31" spans="2:6">
      <c r="B31">
        <f t="shared" si="0"/>
        <v>28</v>
      </c>
      <c r="C31" t="s">
        <v>94</v>
      </c>
      <c r="D31" t="s">
        <v>11</v>
      </c>
      <c r="F31" s="1">
        <v>45747</v>
      </c>
    </row>
    <row r="32" spans="2:6" ht="27">
      <c r="B32">
        <f t="shared" si="0"/>
        <v>29</v>
      </c>
      <c r="C32" s="3" t="s">
        <v>144</v>
      </c>
    </row>
    <row r="33" spans="2:3">
      <c r="B33">
        <f t="shared" si="0"/>
        <v>30</v>
      </c>
      <c r="C33" t="s">
        <v>147</v>
      </c>
    </row>
  </sheetData>
  <phoneticPr fontId="1"/>
  <hyperlinks>
    <hyperlink ref="E5" r:id="rId1" xr:uid="{710BA6B0-B0F6-4236-8BB2-74C40F796674}"/>
  </hyperlinks>
  <pageMargins left="0.7" right="0.7" top="0.75" bottom="0.75" header="0.3" footer="0.3"/>
  <pageSetup paperSize="9"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E40CD-4CA6-4FF4-B0DA-D079807C6662}">
  <dimension ref="B3:G15"/>
  <sheetViews>
    <sheetView topLeftCell="A6" workbookViewId="0">
      <selection activeCell="D16" sqref="D16"/>
    </sheetView>
  </sheetViews>
  <sheetFormatPr defaultRowHeight="13.5"/>
  <cols>
    <col min="2" max="2" width="10.5" bestFit="1" customWidth="1"/>
    <col min="3" max="3" width="15.125" bestFit="1" customWidth="1"/>
    <col min="4" max="4" width="31.125" customWidth="1"/>
    <col min="5" max="5" width="45.375" bestFit="1" customWidth="1"/>
    <col min="6" max="6" width="37.75" bestFit="1" customWidth="1"/>
  </cols>
  <sheetData>
    <row r="3" spans="2:7" ht="40.5">
      <c r="B3" s="1">
        <v>45747</v>
      </c>
      <c r="C3" t="s">
        <v>148</v>
      </c>
      <c r="D3" s="3" t="s">
        <v>149</v>
      </c>
      <c r="E3" t="s">
        <v>150</v>
      </c>
      <c r="F3" t="s">
        <v>151</v>
      </c>
    </row>
    <row r="4" spans="2:7" ht="54">
      <c r="D4" s="3" t="s">
        <v>152</v>
      </c>
      <c r="E4" t="s">
        <v>153</v>
      </c>
      <c r="F4" t="s">
        <v>154</v>
      </c>
    </row>
    <row r="5" spans="2:7" ht="40.5">
      <c r="D5" s="3" t="s">
        <v>155</v>
      </c>
      <c r="E5" t="s">
        <v>156</v>
      </c>
      <c r="F5" t="s">
        <v>157</v>
      </c>
    </row>
    <row r="6" spans="2:7" ht="54">
      <c r="D6" s="3" t="s">
        <v>158</v>
      </c>
      <c r="E6" t="s">
        <v>159</v>
      </c>
      <c r="F6" t="s">
        <v>160</v>
      </c>
    </row>
    <row r="7" spans="2:7" ht="54">
      <c r="D7" s="3" t="s">
        <v>161</v>
      </c>
      <c r="E7" t="s">
        <v>162</v>
      </c>
      <c r="F7" t="s">
        <v>151</v>
      </c>
    </row>
    <row r="8" spans="2:7" ht="40.5">
      <c r="D8" s="3" t="s">
        <v>164</v>
      </c>
      <c r="E8" t="s">
        <v>162</v>
      </c>
      <c r="F8" t="s">
        <v>151</v>
      </c>
      <c r="G8" t="s">
        <v>165</v>
      </c>
    </row>
    <row r="9" spans="2:7" ht="81">
      <c r="D9" s="3" t="s">
        <v>163</v>
      </c>
      <c r="E9" t="s">
        <v>153</v>
      </c>
      <c r="F9" t="s">
        <v>154</v>
      </c>
    </row>
    <row r="10" spans="2:7" ht="40.5">
      <c r="D10" s="3" t="s">
        <v>166</v>
      </c>
      <c r="E10" t="s">
        <v>156</v>
      </c>
      <c r="F10" t="s">
        <v>157</v>
      </c>
    </row>
    <row r="11" spans="2:7" ht="54">
      <c r="D11" s="3" t="s">
        <v>167</v>
      </c>
      <c r="E11" t="s">
        <v>168</v>
      </c>
      <c r="F11" t="s">
        <v>168</v>
      </c>
    </row>
    <row r="12" spans="2:7" ht="54">
      <c r="D12" s="3" t="s">
        <v>169</v>
      </c>
      <c r="E12" t="s">
        <v>170</v>
      </c>
      <c r="F12" t="s">
        <v>170</v>
      </c>
    </row>
    <row r="13" spans="2:7" ht="40.5">
      <c r="D13" s="3" t="s">
        <v>171</v>
      </c>
      <c r="E13" t="s">
        <v>173</v>
      </c>
      <c r="F13" t="s">
        <v>172</v>
      </c>
    </row>
    <row r="14" spans="2:7" ht="54">
      <c r="D14" s="3" t="s">
        <v>174</v>
      </c>
      <c r="E14" t="s">
        <v>175</v>
      </c>
      <c r="F14" t="s">
        <v>175</v>
      </c>
    </row>
    <row r="15" spans="2:7" ht="40.5">
      <c r="D15" s="3" t="s">
        <v>176</v>
      </c>
      <c r="E15" t="s">
        <v>177</v>
      </c>
      <c r="F15" t="s">
        <v>177</v>
      </c>
    </row>
  </sheetData>
  <phoneticPr fontId="1"/>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D43"/>
  <sheetViews>
    <sheetView topLeftCell="A39" workbookViewId="0">
      <selection activeCell="C43" sqref="C43"/>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90</v>
      </c>
    </row>
    <row r="15" spans="3:3" ht="40.5">
      <c r="C15" s="3" t="s">
        <v>79</v>
      </c>
    </row>
    <row r="16" spans="3:3" ht="54">
      <c r="C16" s="3" t="s">
        <v>81</v>
      </c>
    </row>
    <row r="17" spans="2:4" ht="40.5">
      <c r="C17" s="3" t="s">
        <v>84</v>
      </c>
    </row>
    <row r="18" spans="2:4" ht="54">
      <c r="B18" s="1">
        <v>45739</v>
      </c>
      <c r="C18" s="3" t="s">
        <v>85</v>
      </c>
    </row>
    <row r="19" spans="2:4">
      <c r="C19" s="3" t="s">
        <v>71</v>
      </c>
    </row>
    <row r="20" spans="2:4" ht="54">
      <c r="C20" s="3" t="s">
        <v>86</v>
      </c>
    </row>
    <row r="21" spans="2:4" ht="67.5">
      <c r="C21" s="3" t="s">
        <v>87</v>
      </c>
    </row>
    <row r="22" spans="2:4">
      <c r="B22" s="1">
        <v>45740</v>
      </c>
      <c r="C22" s="3" t="s">
        <v>71</v>
      </c>
    </row>
    <row r="23" spans="2:4" ht="40.5">
      <c r="C23" s="3" t="s">
        <v>91</v>
      </c>
    </row>
    <row r="24" spans="2:4" ht="40.5">
      <c r="B24" s="1">
        <v>45741</v>
      </c>
      <c r="C24" s="3" t="s">
        <v>92</v>
      </c>
    </row>
    <row r="25" spans="2:4" ht="27">
      <c r="B25" s="1">
        <v>45742</v>
      </c>
      <c r="C25" s="3" t="s">
        <v>251</v>
      </c>
    </row>
    <row r="26" spans="2:4">
      <c r="B26" s="1">
        <v>45776</v>
      </c>
      <c r="C26" s="3" t="s">
        <v>252</v>
      </c>
    </row>
    <row r="27" spans="2:4" ht="54">
      <c r="B27" s="1">
        <v>45776</v>
      </c>
      <c r="C27" s="3" t="s">
        <v>254</v>
      </c>
    </row>
    <row r="28" spans="2:4" ht="409.5">
      <c r="B28" s="1">
        <v>45776</v>
      </c>
      <c r="C28" s="3" t="s">
        <v>266</v>
      </c>
    </row>
    <row r="29" spans="2:4" ht="409.5">
      <c r="C29" s="3" t="s">
        <v>255</v>
      </c>
      <c r="D29" t="s">
        <v>257</v>
      </c>
    </row>
    <row r="30" spans="2:4" ht="409.5">
      <c r="C30" s="3" t="s">
        <v>256</v>
      </c>
      <c r="D30" t="s">
        <v>258</v>
      </c>
    </row>
    <row r="31" spans="2:4" ht="409.5">
      <c r="C31" s="3" t="s">
        <v>259</v>
      </c>
      <c r="D31" t="s">
        <v>260</v>
      </c>
    </row>
    <row r="32" spans="2:4" ht="409.5">
      <c r="C32" s="3" t="s">
        <v>261</v>
      </c>
      <c r="D32" t="s">
        <v>263</v>
      </c>
    </row>
    <row r="33" spans="3:4">
      <c r="C33" s="3"/>
      <c r="D33" t="s">
        <v>264</v>
      </c>
    </row>
    <row r="34" spans="3:4" ht="409.5">
      <c r="C34" s="3" t="s">
        <v>262</v>
      </c>
      <c r="D34" t="s">
        <v>265</v>
      </c>
    </row>
    <row r="35" spans="3:4" ht="409.5">
      <c r="C35" s="3" t="s">
        <v>678</v>
      </c>
    </row>
    <row r="36" spans="3:4" ht="135">
      <c r="C36" s="3" t="s">
        <v>679</v>
      </c>
    </row>
    <row r="37" spans="3:4" ht="189">
      <c r="C37" s="3" t="s">
        <v>680</v>
      </c>
    </row>
    <row r="38" spans="3:4">
      <c r="C38" s="3" t="s">
        <v>681</v>
      </c>
    </row>
    <row r="39" spans="3:4" ht="409.5">
      <c r="C39" s="3" t="s">
        <v>682</v>
      </c>
    </row>
    <row r="40" spans="3:4">
      <c r="C40" t="s">
        <v>928</v>
      </c>
    </row>
    <row r="41" spans="3:4" ht="40.5">
      <c r="C41" s="3" t="s">
        <v>717</v>
      </c>
    </row>
    <row r="42" spans="3:4" ht="54">
      <c r="C42" s="3" t="s">
        <v>892</v>
      </c>
    </row>
    <row r="43" spans="3:4" ht="40.5">
      <c r="C43" s="3" t="s">
        <v>893</v>
      </c>
    </row>
  </sheetData>
  <phoneticPr fontId="1"/>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D1F4F-4FBA-4AD3-8545-6C67C68E9F78}">
  <dimension ref="C3:D7"/>
  <sheetViews>
    <sheetView workbookViewId="0">
      <selection activeCell="C8" sqref="C8"/>
    </sheetView>
  </sheetViews>
  <sheetFormatPr defaultRowHeight="13.5"/>
  <cols>
    <col min="3" max="3" width="14.25" bestFit="1" customWidth="1"/>
    <col min="4" max="4" width="17.125" bestFit="1" customWidth="1"/>
  </cols>
  <sheetData>
    <row r="3" spans="3:4">
      <c r="C3" t="s">
        <v>894</v>
      </c>
      <c r="D3" t="s">
        <v>895</v>
      </c>
    </row>
    <row r="4" spans="3:4">
      <c r="C4" t="s">
        <v>896</v>
      </c>
      <c r="D4" t="s">
        <v>897</v>
      </c>
    </row>
    <row r="5" spans="3:4">
      <c r="C5" t="s">
        <v>898</v>
      </c>
      <c r="D5" t="s">
        <v>899</v>
      </c>
    </row>
    <row r="6" spans="3:4">
      <c r="C6" t="s">
        <v>900</v>
      </c>
      <c r="D6" t="s">
        <v>901</v>
      </c>
    </row>
    <row r="7" spans="3:4">
      <c r="C7" t="s">
        <v>906</v>
      </c>
      <c r="D7" t="s">
        <v>907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8D234-365F-4B51-8CC9-CA1EEC7E09FC}">
  <dimension ref="B3:F440"/>
  <sheetViews>
    <sheetView topLeftCell="A431" workbookViewId="0">
      <selection activeCell="D441" sqref="D441"/>
    </sheetView>
  </sheetViews>
  <sheetFormatPr defaultRowHeight="13.5"/>
  <cols>
    <col min="2" max="2" width="10.5" bestFit="1" customWidth="1"/>
    <col min="4" max="4" width="65" bestFit="1" customWidth="1"/>
    <col min="5" max="5" width="229.25" bestFit="1" customWidth="1"/>
  </cols>
  <sheetData>
    <row r="3" spans="2:5" ht="40.5">
      <c r="B3" s="1">
        <v>45805</v>
      </c>
      <c r="C3" t="s">
        <v>718</v>
      </c>
      <c r="D3" s="3" t="s">
        <v>717</v>
      </c>
      <c r="E3" t="s">
        <v>719</v>
      </c>
    </row>
    <row r="7" spans="2:5" ht="21">
      <c r="E7" s="4" t="s">
        <v>720</v>
      </c>
    </row>
    <row r="8" spans="2:5">
      <c r="E8" s="7"/>
    </row>
    <row r="9" spans="2:5">
      <c r="E9" s="8" t="s">
        <v>721</v>
      </c>
    </row>
    <row r="10" spans="2:5">
      <c r="E10" s="7"/>
    </row>
    <row r="11" spans="2:5">
      <c r="E11" s="7"/>
    </row>
    <row r="12" spans="2:5">
      <c r="E12" s="9"/>
    </row>
    <row r="13" spans="2:5">
      <c r="E13" s="9" t="s">
        <v>722</v>
      </c>
    </row>
    <row r="14" spans="2:5">
      <c r="E14" s="7"/>
    </row>
    <row r="15" spans="2:5">
      <c r="E15" s="8" t="s">
        <v>723</v>
      </c>
    </row>
    <row r="16" spans="2:5">
      <c r="E16" s="7"/>
    </row>
    <row r="17" spans="5:5">
      <c r="E17" s="7"/>
    </row>
    <row r="18" spans="5:5">
      <c r="E18" s="9"/>
    </row>
    <row r="19" spans="5:5">
      <c r="E19" s="9" t="s">
        <v>724</v>
      </c>
    </row>
    <row r="20" spans="5:5">
      <c r="E20" s="9"/>
    </row>
    <row r="21" spans="5:5">
      <c r="E21" s="9" t="s">
        <v>725</v>
      </c>
    </row>
    <row r="22" spans="5:5">
      <c r="E22" s="9"/>
    </row>
    <row r="23" spans="5:5">
      <c r="E23" s="9" t="s">
        <v>726</v>
      </c>
    </row>
    <row r="24" spans="5:5">
      <c r="E24" s="9"/>
    </row>
    <row r="25" spans="5:5">
      <c r="E25" s="9" t="s">
        <v>727</v>
      </c>
    </row>
    <row r="26" spans="5:5">
      <c r="E26" s="7"/>
    </row>
    <row r="27" spans="5:5">
      <c r="E27" s="8" t="s">
        <v>728</v>
      </c>
    </row>
    <row r="28" spans="5:5">
      <c r="E28" s="7"/>
    </row>
    <row r="29" spans="5:5">
      <c r="E29" s="7"/>
    </row>
    <row r="30" spans="5:5">
      <c r="E30" s="9"/>
    </row>
    <row r="31" spans="5:5">
      <c r="E31" s="9" t="s">
        <v>729</v>
      </c>
    </row>
    <row r="35" spans="5:5" ht="21">
      <c r="E35" s="4" t="s">
        <v>730</v>
      </c>
    </row>
    <row r="36" spans="5:5">
      <c r="E36" s="7"/>
    </row>
    <row r="37" spans="5:5">
      <c r="E37" s="8" t="s">
        <v>731</v>
      </c>
    </row>
    <row r="38" spans="5:5">
      <c r="E38" s="7"/>
    </row>
    <row r="39" spans="5:5">
      <c r="E39" s="7"/>
    </row>
    <row r="40" spans="5:5">
      <c r="E40" s="9"/>
    </row>
    <row r="41" spans="5:5">
      <c r="E41" s="9" t="s">
        <v>732</v>
      </c>
    </row>
    <row r="42" spans="5:5">
      <c r="E42" s="9"/>
    </row>
    <row r="43" spans="5:5">
      <c r="E43" s="9" t="s">
        <v>733</v>
      </c>
    </row>
    <row r="44" spans="5:5">
      <c r="E44" s="9"/>
    </row>
    <row r="45" spans="5:5">
      <c r="E45" s="9" t="s">
        <v>734</v>
      </c>
    </row>
    <row r="46" spans="5:5">
      <c r="E46" s="7"/>
    </row>
    <row r="47" spans="5:5">
      <c r="E47" s="8" t="s">
        <v>735</v>
      </c>
    </row>
    <row r="48" spans="5:5">
      <c r="E48" s="7"/>
    </row>
    <row r="49" spans="5:5">
      <c r="E49" s="7"/>
    </row>
    <row r="50" spans="5:5">
      <c r="E50" s="9"/>
    </row>
    <row r="51" spans="5:5">
      <c r="E51" s="9" t="s">
        <v>736</v>
      </c>
    </row>
    <row r="52" spans="5:5">
      <c r="E52" s="7"/>
    </row>
    <row r="53" spans="5:5">
      <c r="E53" s="8" t="s">
        <v>737</v>
      </c>
    </row>
    <row r="54" spans="5:5">
      <c r="E54" s="7"/>
    </row>
    <row r="55" spans="5:5">
      <c r="E55" s="7"/>
    </row>
    <row r="56" spans="5:5">
      <c r="E56" s="9"/>
    </row>
    <row r="57" spans="5:5">
      <c r="E57" s="9" t="s">
        <v>738</v>
      </c>
    </row>
    <row r="58" spans="5:5">
      <c r="E58" s="9"/>
    </row>
    <row r="59" spans="5:5">
      <c r="E59" s="9" t="s">
        <v>739</v>
      </c>
    </row>
    <row r="60" spans="5:5">
      <c r="E60" s="7"/>
    </row>
    <row r="61" spans="5:5">
      <c r="E61" s="8" t="s">
        <v>740</v>
      </c>
    </row>
    <row r="62" spans="5:5">
      <c r="E62" s="7"/>
    </row>
    <row r="63" spans="5:5">
      <c r="E63" s="7"/>
    </row>
    <row r="64" spans="5:5">
      <c r="E64" s="9"/>
    </row>
    <row r="65" spans="5:5">
      <c r="E65" s="28" t="s">
        <v>741</v>
      </c>
    </row>
    <row r="66" spans="5:5">
      <c r="E66" s="9"/>
    </row>
    <row r="67" spans="5:5">
      <c r="E67" s="28" t="s">
        <v>742</v>
      </c>
    </row>
    <row r="68" spans="5:5">
      <c r="E68" s="9"/>
    </row>
    <row r="69" spans="5:5">
      <c r="E69" s="28" t="s">
        <v>743</v>
      </c>
    </row>
    <row r="70" spans="5:5">
      <c r="E70" s="9"/>
    </row>
    <row r="71" spans="5:5">
      <c r="E71" s="28" t="s">
        <v>744</v>
      </c>
    </row>
    <row r="75" spans="5:5" ht="21">
      <c r="E75" s="4" t="s">
        <v>745</v>
      </c>
    </row>
    <row r="77" spans="5:5" ht="14.25">
      <c r="E77" s="27" t="s">
        <v>746</v>
      </c>
    </row>
    <row r="79" spans="5:5">
      <c r="E79" s="6" t="s">
        <v>747</v>
      </c>
    </row>
    <row r="80" spans="5:5">
      <c r="E80" s="26"/>
    </row>
    <row r="81" spans="5:5">
      <c r="E81" s="6" t="s">
        <v>748</v>
      </c>
    </row>
    <row r="82" spans="5:5">
      <c r="E82" s="6" t="s">
        <v>749</v>
      </c>
    </row>
    <row r="83" spans="5:5">
      <c r="E83" s="6" t="s">
        <v>750</v>
      </c>
    </row>
    <row r="84" spans="5:5">
      <c r="E84" s="6" t="s">
        <v>751</v>
      </c>
    </row>
    <row r="85" spans="5:5">
      <c r="E85" s="6" t="s">
        <v>750</v>
      </c>
    </row>
    <row r="86" spans="5:5">
      <c r="E86" s="26"/>
    </row>
    <row r="87" spans="5:5">
      <c r="E87" s="6" t="s">
        <v>752</v>
      </c>
    </row>
    <row r="88" spans="5:5">
      <c r="E88" s="6" t="s">
        <v>753</v>
      </c>
    </row>
    <row r="89" spans="5:5">
      <c r="E89" s="6" t="s">
        <v>754</v>
      </c>
    </row>
    <row r="90" spans="5:5">
      <c r="E90" s="6" t="s">
        <v>755</v>
      </c>
    </row>
    <row r="91" spans="5:5">
      <c r="E91" s="6" t="s">
        <v>756</v>
      </c>
    </row>
    <row r="92" spans="5:5">
      <c r="E92" s="6" t="s">
        <v>757</v>
      </c>
    </row>
    <row r="93" spans="5:5">
      <c r="E93" s="6" t="s">
        <v>758</v>
      </c>
    </row>
    <row r="94" spans="5:5">
      <c r="E94" s="6" t="s">
        <v>759</v>
      </c>
    </row>
    <row r="95" spans="5:5">
      <c r="E95" s="6" t="s">
        <v>760</v>
      </c>
    </row>
    <row r="96" spans="5:5">
      <c r="E96" s="6" t="s">
        <v>761</v>
      </c>
    </row>
    <row r="97" spans="5:5">
      <c r="E97" s="6" t="s">
        <v>762</v>
      </c>
    </row>
    <row r="98" spans="5:5">
      <c r="E98" s="6" t="s">
        <v>763</v>
      </c>
    </row>
    <row r="99" spans="5:5">
      <c r="E99" s="26"/>
    </row>
    <row r="100" spans="5:5">
      <c r="E100" s="6" t="s">
        <v>764</v>
      </c>
    </row>
    <row r="101" spans="5:5">
      <c r="E101" s="6" t="s">
        <v>765</v>
      </c>
    </row>
    <row r="102" spans="5:5">
      <c r="E102" s="6" t="s">
        <v>766</v>
      </c>
    </row>
    <row r="103" spans="5:5">
      <c r="E103" s="26"/>
    </row>
    <row r="104" spans="5:5">
      <c r="E104" s="6" t="s">
        <v>767</v>
      </c>
    </row>
    <row r="105" spans="5:5">
      <c r="E105" s="6" t="s">
        <v>768</v>
      </c>
    </row>
    <row r="106" spans="5:5">
      <c r="E106" s="6" t="s">
        <v>769</v>
      </c>
    </row>
    <row r="107" spans="5:5">
      <c r="E107" s="6" t="s">
        <v>770</v>
      </c>
    </row>
    <row r="108" spans="5:5">
      <c r="E108" s="6" t="s">
        <v>771</v>
      </c>
    </row>
    <row r="109" spans="5:5">
      <c r="E109" s="6" t="s">
        <v>772</v>
      </c>
    </row>
    <row r="110" spans="5:5">
      <c r="E110" s="6" t="s">
        <v>773</v>
      </c>
    </row>
    <row r="111" spans="5:5">
      <c r="E111" s="6" t="s">
        <v>774</v>
      </c>
    </row>
    <row r="112" spans="5:5">
      <c r="E112" s="6" t="s">
        <v>775</v>
      </c>
    </row>
    <row r="113" spans="5:5">
      <c r="E113" s="6" t="s">
        <v>776</v>
      </c>
    </row>
    <row r="114" spans="5:5">
      <c r="E114" s="6" t="s">
        <v>777</v>
      </c>
    </row>
    <row r="115" spans="5:5">
      <c r="E115" s="6" t="s">
        <v>778</v>
      </c>
    </row>
    <row r="116" spans="5:5">
      <c r="E116" s="6" t="s">
        <v>779</v>
      </c>
    </row>
    <row r="117" spans="5:5">
      <c r="E117" s="6" t="s">
        <v>780</v>
      </c>
    </row>
    <row r="118" spans="5:5">
      <c r="E118" s="6" t="s">
        <v>781</v>
      </c>
    </row>
    <row r="119" spans="5:5">
      <c r="E119" s="26"/>
    </row>
    <row r="120" spans="5:5">
      <c r="E120" s="6" t="s">
        <v>782</v>
      </c>
    </row>
    <row r="121" spans="5:5">
      <c r="E121" s="6" t="s">
        <v>783</v>
      </c>
    </row>
    <row r="122" spans="5:5">
      <c r="E122" s="6" t="s">
        <v>769</v>
      </c>
    </row>
    <row r="123" spans="5:5">
      <c r="E123" s="6" t="s">
        <v>784</v>
      </c>
    </row>
    <row r="124" spans="5:5">
      <c r="E124" s="6" t="s">
        <v>771</v>
      </c>
    </row>
    <row r="125" spans="5:5">
      <c r="E125" s="6" t="s">
        <v>785</v>
      </c>
    </row>
    <row r="126" spans="5:5">
      <c r="E126" s="26"/>
    </row>
    <row r="127" spans="5:5">
      <c r="E127" s="6" t="s">
        <v>786</v>
      </c>
    </row>
    <row r="128" spans="5:5">
      <c r="E128" s="6" t="s">
        <v>787</v>
      </c>
    </row>
    <row r="129" spans="5:5">
      <c r="E129" s="6" t="s">
        <v>788</v>
      </c>
    </row>
    <row r="130" spans="5:5">
      <c r="E130" s="6" t="s">
        <v>759</v>
      </c>
    </row>
    <row r="131" spans="5:5">
      <c r="E131" s="6" t="s">
        <v>789</v>
      </c>
    </row>
    <row r="132" spans="5:5">
      <c r="E132" s="6" t="s">
        <v>790</v>
      </c>
    </row>
    <row r="133" spans="5:5">
      <c r="E133" s="6" t="s">
        <v>791</v>
      </c>
    </row>
    <row r="134" spans="5:5">
      <c r="E134" s="26"/>
    </row>
    <row r="135" spans="5:5">
      <c r="E135" s="6" t="s">
        <v>792</v>
      </c>
    </row>
    <row r="136" spans="5:5">
      <c r="E136" s="6" t="s">
        <v>793</v>
      </c>
    </row>
    <row r="137" spans="5:5">
      <c r="E137" s="6" t="s">
        <v>794</v>
      </c>
    </row>
    <row r="138" spans="5:5">
      <c r="E138" s="6" t="s">
        <v>759</v>
      </c>
    </row>
    <row r="139" spans="5:5">
      <c r="E139" s="6" t="s">
        <v>795</v>
      </c>
    </row>
    <row r="140" spans="5:5">
      <c r="E140" s="6" t="s">
        <v>796</v>
      </c>
    </row>
    <row r="141" spans="5:5">
      <c r="E141" s="7"/>
    </row>
    <row r="142" spans="5:5">
      <c r="E142" s="8" t="s">
        <v>797</v>
      </c>
    </row>
    <row r="143" spans="5:5">
      <c r="E143" s="9"/>
    </row>
    <row r="144" spans="5:5">
      <c r="E144" s="29" t="s">
        <v>798</v>
      </c>
    </row>
    <row r="145" spans="5:5">
      <c r="E145" s="9"/>
    </row>
    <row r="146" spans="5:5">
      <c r="E146" s="29" t="s">
        <v>799</v>
      </c>
    </row>
    <row r="147" spans="5:5">
      <c r="E147" s="9"/>
    </row>
    <row r="148" spans="5:5">
      <c r="E148" s="29" t="s">
        <v>800</v>
      </c>
    </row>
    <row r="149" spans="5:5">
      <c r="E149" s="9"/>
    </row>
    <row r="150" spans="5:5">
      <c r="E150" s="29" t="s">
        <v>801</v>
      </c>
    </row>
    <row r="154" spans="5:5" ht="21">
      <c r="E154" s="4" t="s">
        <v>802</v>
      </c>
    </row>
    <row r="155" spans="5:5">
      <c r="E155" s="7"/>
    </row>
    <row r="156" spans="5:5">
      <c r="E156" s="7" t="s">
        <v>803</v>
      </c>
    </row>
    <row r="157" spans="5:5">
      <c r="E157" s="7"/>
    </row>
    <row r="158" spans="5:5">
      <c r="E158" s="7" t="s">
        <v>804</v>
      </c>
    </row>
    <row r="159" spans="5:5">
      <c r="E159" s="7"/>
    </row>
    <row r="160" spans="5:5">
      <c r="E160" s="7"/>
    </row>
    <row r="161" spans="5:5">
      <c r="E161" s="9"/>
    </row>
    <row r="162" spans="5:5">
      <c r="E162" s="28" t="s">
        <v>805</v>
      </c>
    </row>
    <row r="163" spans="5:5">
      <c r="E163" s="9"/>
    </row>
    <row r="164" spans="5:5">
      <c r="E164" s="9" t="s">
        <v>806</v>
      </c>
    </row>
    <row r="165" spans="5:5">
      <c r="E165" s="7"/>
    </row>
    <row r="166" spans="5:5">
      <c r="E166" s="7" t="s">
        <v>807</v>
      </c>
    </row>
    <row r="170" spans="5:5" ht="21">
      <c r="E170" s="4" t="s">
        <v>808</v>
      </c>
    </row>
    <row r="171" spans="5:5">
      <c r="E171" s="7"/>
    </row>
    <row r="172" spans="5:5">
      <c r="E172" s="8" t="s">
        <v>809</v>
      </c>
    </row>
    <row r="173" spans="5:5">
      <c r="E173" s="7"/>
    </row>
    <row r="174" spans="5:5">
      <c r="E174" s="7"/>
    </row>
    <row r="175" spans="5:5">
      <c r="E175" s="9"/>
    </row>
    <row r="176" spans="5:5">
      <c r="E176" s="9" t="s">
        <v>810</v>
      </c>
    </row>
    <row r="177" spans="5:5">
      <c r="E177" s="7"/>
    </row>
    <row r="178" spans="5:5">
      <c r="E178" s="8" t="s">
        <v>811</v>
      </c>
    </row>
    <row r="179" spans="5:5">
      <c r="E179" s="7"/>
    </row>
    <row r="180" spans="5:5">
      <c r="E180" s="7"/>
    </row>
    <row r="181" spans="5:5">
      <c r="E181" s="9"/>
    </row>
    <row r="182" spans="5:5">
      <c r="E182" s="9" t="s">
        <v>812</v>
      </c>
    </row>
    <row r="183" spans="5:5">
      <c r="E183" s="7"/>
    </row>
    <row r="184" spans="5:5">
      <c r="E184" s="8" t="s">
        <v>813</v>
      </c>
    </row>
    <row r="185" spans="5:5">
      <c r="E185" s="7"/>
    </row>
    <row r="186" spans="5:5">
      <c r="E186" s="7"/>
    </row>
    <row r="187" spans="5:5">
      <c r="E187" s="9"/>
    </row>
    <row r="188" spans="5:5">
      <c r="E188" s="9" t="s">
        <v>814</v>
      </c>
    </row>
    <row r="192" spans="5:5">
      <c r="E192" t="s">
        <v>815</v>
      </c>
    </row>
    <row r="193" spans="4:5">
      <c r="D193" t="s">
        <v>816</v>
      </c>
    </row>
    <row r="195" spans="4:5">
      <c r="D195" t="s">
        <v>817</v>
      </c>
    </row>
    <row r="197" spans="4:5">
      <c r="D197" t="s">
        <v>732</v>
      </c>
    </row>
    <row r="199" spans="4:5">
      <c r="D199" t="s">
        <v>733</v>
      </c>
    </row>
    <row r="201" spans="4:5">
      <c r="D201" t="s">
        <v>734</v>
      </c>
    </row>
    <row r="202" spans="4:5">
      <c r="E202" t="s">
        <v>818</v>
      </c>
    </row>
    <row r="206" spans="4:5" ht="21">
      <c r="E206" s="4" t="s">
        <v>819</v>
      </c>
    </row>
    <row r="207" spans="4:5">
      <c r="E207" s="7"/>
    </row>
    <row r="208" spans="4:5">
      <c r="E208" s="8" t="s">
        <v>820</v>
      </c>
    </row>
    <row r="209" spans="5:5">
      <c r="E209" s="7"/>
    </row>
    <row r="210" spans="5:5">
      <c r="E210" s="7" t="s">
        <v>821</v>
      </c>
    </row>
    <row r="214" spans="5:5" ht="21">
      <c r="E214" s="4" t="s">
        <v>822</v>
      </c>
    </row>
    <row r="215" spans="5:5">
      <c r="E215" s="7"/>
    </row>
    <row r="216" spans="5:5">
      <c r="E216" s="30" t="s">
        <v>823</v>
      </c>
    </row>
    <row r="217" spans="5:5">
      <c r="E217" s="30" t="s">
        <v>885</v>
      </c>
    </row>
    <row r="218" spans="5:5">
      <c r="E218" s="7" t="s">
        <v>824</v>
      </c>
    </row>
    <row r="219" spans="5:5">
      <c r="E219" s="30" t="s">
        <v>886</v>
      </c>
    </row>
    <row r="220" spans="5:5">
      <c r="E220" s="7" t="s">
        <v>825</v>
      </c>
    </row>
    <row r="221" spans="5:5">
      <c r="E221" s="30" t="s">
        <v>887</v>
      </c>
    </row>
    <row r="222" spans="5:5">
      <c r="E222" s="7" t="s">
        <v>826</v>
      </c>
    </row>
    <row r="223" spans="5:5">
      <c r="E223" s="7" t="s">
        <v>165</v>
      </c>
    </row>
    <row r="224" spans="5:5">
      <c r="E224" s="7" t="s">
        <v>827</v>
      </c>
    </row>
    <row r="225" spans="5:6">
      <c r="E225" s="7"/>
    </row>
    <row r="226" spans="5:6">
      <c r="E226" s="8" t="s">
        <v>828</v>
      </c>
    </row>
    <row r="227" spans="5:6">
      <c r="E227" s="9"/>
    </row>
    <row r="228" spans="5:6">
      <c r="E228" s="9" t="s">
        <v>829</v>
      </c>
    </row>
    <row r="229" spans="5:6">
      <c r="E229" s="9"/>
    </row>
    <row r="230" spans="5:6">
      <c r="E230" s="9" t="s">
        <v>830</v>
      </c>
    </row>
    <row r="234" spans="5:6" ht="21">
      <c r="E234" s="4" t="s">
        <v>831</v>
      </c>
    </row>
    <row r="236" spans="5:6">
      <c r="E236" t="s">
        <v>832</v>
      </c>
    </row>
    <row r="238" spans="5:6">
      <c r="E238" s="31" t="s">
        <v>833</v>
      </c>
      <c r="F238" s="31" t="s">
        <v>834</v>
      </c>
    </row>
    <row r="239" spans="5:6" ht="81">
      <c r="E239" s="32" t="s">
        <v>835</v>
      </c>
      <c r="F239" s="32" t="s">
        <v>836</v>
      </c>
    </row>
    <row r="240" spans="5:6" ht="67.5">
      <c r="E240" s="32" t="s">
        <v>837</v>
      </c>
      <c r="F240" s="32" t="s">
        <v>838</v>
      </c>
    </row>
    <row r="242" spans="5:5" ht="16.5">
      <c r="E242" s="5" t="s">
        <v>839</v>
      </c>
    </row>
    <row r="243" spans="5:5">
      <c r="E243" s="7"/>
    </row>
    <row r="244" spans="5:5">
      <c r="E244" s="7" t="s">
        <v>840</v>
      </c>
    </row>
    <row r="245" spans="5:5">
      <c r="E245" s="30" t="s">
        <v>888</v>
      </c>
    </row>
    <row r="246" spans="5:5">
      <c r="E246" s="8" t="s">
        <v>841</v>
      </c>
    </row>
    <row r="247" spans="5:5">
      <c r="E247" s="30" t="s">
        <v>889</v>
      </c>
    </row>
    <row r="248" spans="5:5">
      <c r="E248" s="7"/>
    </row>
    <row r="249" spans="5:5">
      <c r="E249" s="9"/>
    </row>
    <row r="250" spans="5:5">
      <c r="E250" s="9" t="s">
        <v>890</v>
      </c>
    </row>
    <row r="251" spans="5:5">
      <c r="E251" s="9"/>
    </row>
    <row r="252" spans="5:5">
      <c r="E252" s="9" t="s">
        <v>842</v>
      </c>
    </row>
    <row r="253" spans="5:5">
      <c r="E253" s="9"/>
    </row>
    <row r="254" spans="5:5">
      <c r="E254" s="9" t="s">
        <v>843</v>
      </c>
    </row>
    <row r="255" spans="5:5">
      <c r="E255" s="7"/>
    </row>
    <row r="256" spans="5:5">
      <c r="E256" s="7" t="s">
        <v>844</v>
      </c>
    </row>
    <row r="257" spans="5:5">
      <c r="E257" s="7"/>
    </row>
    <row r="258" spans="5:5">
      <c r="E258" s="7"/>
    </row>
    <row r="259" spans="5:5">
      <c r="E259" s="9"/>
    </row>
    <row r="260" spans="5:5">
      <c r="E260" s="9" t="s">
        <v>845</v>
      </c>
    </row>
    <row r="261" spans="5:5">
      <c r="E261" s="7"/>
    </row>
    <row r="262" spans="5:5">
      <c r="E262" s="7" t="s">
        <v>846</v>
      </c>
    </row>
    <row r="263" spans="5:5">
      <c r="E263" s="7"/>
    </row>
    <row r="264" spans="5:5">
      <c r="E264" s="8" t="s">
        <v>847</v>
      </c>
    </row>
    <row r="265" spans="5:5">
      <c r="E265" s="7" t="s">
        <v>891</v>
      </c>
    </row>
    <row r="266" spans="5:5" ht="14.25">
      <c r="E266" s="33" t="s">
        <v>848</v>
      </c>
    </row>
    <row r="268" spans="5:5">
      <c r="E268" s="6" t="s">
        <v>849</v>
      </c>
    </row>
    <row r="269" spans="5:5">
      <c r="E269" s="6" t="s">
        <v>850</v>
      </c>
    </row>
    <row r="270" spans="5:5">
      <c r="E270" s="26"/>
    </row>
    <row r="271" spans="5:5">
      <c r="E271" s="6" t="s">
        <v>851</v>
      </c>
    </row>
    <row r="272" spans="5:5">
      <c r="E272" s="6" t="s">
        <v>852</v>
      </c>
    </row>
    <row r="274" spans="5:5">
      <c r="E274" t="s">
        <v>853</v>
      </c>
    </row>
    <row r="276" spans="5:5">
      <c r="E276" s="6" t="s">
        <v>854</v>
      </c>
    </row>
    <row r="280" spans="5:5" ht="16.5">
      <c r="E280" s="5" t="s">
        <v>855</v>
      </c>
    </row>
    <row r="281" spans="5:5">
      <c r="E281" s="7"/>
    </row>
    <row r="282" spans="5:5">
      <c r="E282" s="7" t="s">
        <v>856</v>
      </c>
    </row>
    <row r="283" spans="5:5">
      <c r="E283" s="7"/>
    </row>
    <row r="284" spans="5:5">
      <c r="E284" s="8" t="s">
        <v>857</v>
      </c>
    </row>
    <row r="285" spans="5:5">
      <c r="E285" s="7"/>
    </row>
    <row r="286" spans="5:5">
      <c r="E286" s="7" t="s">
        <v>858</v>
      </c>
    </row>
    <row r="287" spans="5:5">
      <c r="E287" s="7"/>
    </row>
    <row r="288" spans="5:5">
      <c r="E288" s="7" t="s">
        <v>859</v>
      </c>
    </row>
    <row r="289" spans="5:5">
      <c r="E289" s="7"/>
    </row>
    <row r="290" spans="5:5">
      <c r="E290" s="7" t="s">
        <v>860</v>
      </c>
    </row>
    <row r="292" spans="5:5" ht="14.25">
      <c r="E292" s="33" t="s">
        <v>861</v>
      </c>
    </row>
    <row r="294" spans="5:5">
      <c r="E294" s="6" t="s">
        <v>862</v>
      </c>
    </row>
    <row r="295" spans="5:5">
      <c r="E295" s="26"/>
    </row>
    <row r="296" spans="5:5">
      <c r="E296" s="6" t="s">
        <v>863</v>
      </c>
    </row>
    <row r="297" spans="5:5">
      <c r="E297" s="6" t="s">
        <v>864</v>
      </c>
    </row>
    <row r="298" spans="5:5">
      <c r="E298" s="6" t="s">
        <v>865</v>
      </c>
    </row>
    <row r="299" spans="5:5">
      <c r="E299" s="26"/>
    </row>
    <row r="300" spans="5:5">
      <c r="E300" s="6" t="s">
        <v>866</v>
      </c>
    </row>
    <row r="301" spans="5:5">
      <c r="E301" s="6" t="s">
        <v>867</v>
      </c>
    </row>
    <row r="302" spans="5:5">
      <c r="E302" s="6" t="s">
        <v>868</v>
      </c>
    </row>
    <row r="303" spans="5:5">
      <c r="E303" s="6" t="s">
        <v>869</v>
      </c>
    </row>
    <row r="304" spans="5:5">
      <c r="E304" s="6" t="s">
        <v>870</v>
      </c>
    </row>
    <row r="305" spans="5:5">
      <c r="E305" s="26"/>
    </row>
    <row r="306" spans="5:5">
      <c r="E306" s="6" t="s">
        <v>871</v>
      </c>
    </row>
    <row r="307" spans="5:5">
      <c r="E307" s="6" t="s">
        <v>872</v>
      </c>
    </row>
    <row r="308" spans="5:5">
      <c r="E308" s="6" t="s">
        <v>873</v>
      </c>
    </row>
    <row r="309" spans="5:5">
      <c r="E309" s="26"/>
    </row>
    <row r="310" spans="5:5">
      <c r="E310" s="6" t="s">
        <v>874</v>
      </c>
    </row>
    <row r="311" spans="5:5">
      <c r="E311" s="6" t="s">
        <v>875</v>
      </c>
    </row>
    <row r="315" spans="5:5" ht="21">
      <c r="E315" s="4" t="s">
        <v>876</v>
      </c>
    </row>
    <row r="316" spans="5:5">
      <c r="E316" s="7"/>
    </row>
    <row r="317" spans="5:5">
      <c r="E317" s="7" t="s">
        <v>877</v>
      </c>
    </row>
    <row r="318" spans="5:5">
      <c r="E318" s="7"/>
    </row>
    <row r="319" spans="5:5">
      <c r="E319" s="7" t="s">
        <v>878</v>
      </c>
    </row>
    <row r="320" spans="5:5">
      <c r="E320" s="7"/>
    </row>
    <row r="321" spans="4:5">
      <c r="E321" s="12" t="s">
        <v>879</v>
      </c>
    </row>
    <row r="322" spans="4:5">
      <c r="E322" s="7"/>
    </row>
    <row r="323" spans="4:5">
      <c r="E323" s="7" t="s">
        <v>880</v>
      </c>
    </row>
    <row r="324" spans="4:5">
      <c r="E324" s="7"/>
    </row>
    <row r="325" spans="4:5">
      <c r="E325" s="8" t="s">
        <v>881</v>
      </c>
    </row>
    <row r="326" spans="4:5">
      <c r="E326" s="9"/>
    </row>
    <row r="327" spans="4:5">
      <c r="E327" s="9" t="s">
        <v>882</v>
      </c>
    </row>
    <row r="328" spans="4:5">
      <c r="E328" s="9"/>
    </row>
    <row r="329" spans="4:5">
      <c r="E329" s="9" t="s">
        <v>883</v>
      </c>
    </row>
    <row r="333" spans="4:5">
      <c r="E333" t="s">
        <v>884</v>
      </c>
    </row>
    <row r="336" spans="4:5">
      <c r="D336" s="3"/>
    </row>
    <row r="337" spans="4:4">
      <c r="D337" t="s">
        <v>929</v>
      </c>
    </row>
    <row r="339" spans="4:4">
      <c r="D339" t="s">
        <v>930</v>
      </c>
    </row>
    <row r="341" spans="4:4">
      <c r="D341" t="s">
        <v>931</v>
      </c>
    </row>
    <row r="343" spans="4:4">
      <c r="D343" t="s">
        <v>932</v>
      </c>
    </row>
    <row r="344" spans="4:4">
      <c r="D344" t="s">
        <v>933</v>
      </c>
    </row>
    <row r="346" spans="4:4">
      <c r="D346" t="s">
        <v>934</v>
      </c>
    </row>
    <row r="349" spans="4:4">
      <c r="D349" t="s">
        <v>934</v>
      </c>
    </row>
    <row r="352" spans="4:4">
      <c r="D352" t="s">
        <v>934</v>
      </c>
    </row>
    <row r="355" spans="4:4">
      <c r="D355" t="s">
        <v>935</v>
      </c>
    </row>
    <row r="358" spans="4:4">
      <c r="D358" t="s">
        <v>936</v>
      </c>
    </row>
    <row r="361" spans="4:4">
      <c r="D361" t="s">
        <v>934</v>
      </c>
    </row>
    <row r="364" spans="4:4">
      <c r="D364" t="s">
        <v>937</v>
      </c>
    </row>
    <row r="366" spans="4:4">
      <c r="D366" t="s">
        <v>938</v>
      </c>
    </row>
    <row r="368" spans="4:4">
      <c r="D368" t="s">
        <v>939</v>
      </c>
    </row>
    <row r="370" spans="4:4">
      <c r="D370" t="s">
        <v>940</v>
      </c>
    </row>
    <row r="371" spans="4:4">
      <c r="D371" t="e" cm="1">
        <f t="array" ref="D371">- GitHub Actions ワークフロー</f>
        <v>#NAME?</v>
      </c>
    </row>
    <row r="372" spans="4:4">
      <c r="D372" t="e" cm="1">
        <f t="array" aca="1" ref="D372" ca="1">- AI関連スクリプト(レビュー,テスト生成,セキュリティ等)</f>
        <v>#NAME?</v>
      </c>
    </row>
    <row r="373" spans="4:4">
      <c r="D373" t="e" cm="1">
        <f t="array" ref="D373">- Google Drive連携</f>
        <v>#NAME?</v>
      </c>
    </row>
    <row r="374" spans="4:4">
      <c r="D374" t="e" cm="1">
        <f t="array" ref="D374">- 自動セットアップスクリプト</f>
        <v>#NAME?</v>
      </c>
    </row>
    <row r="375" spans="4:4">
      <c r="D375" t="e" cm="1">
        <f t="array" ref="D375">- Husky + lint-staged設定</f>
        <v>#NAME?</v>
      </c>
    </row>
    <row r="376" spans="4:4">
      <c r="D376" t="e" cm="1">
        <f t="array" ref="D376">- TypeScript + ESLint設定</f>
        <v>#NAME?</v>
      </c>
    </row>
    <row r="378" spans="4:4">
      <c r="D378" t="s">
        <v>941</v>
      </c>
    </row>
    <row r="380" spans="4:4">
      <c r="D380" t="s">
        <v>942</v>
      </c>
    </row>
    <row r="382" spans="4:4">
      <c r="D382" t="s">
        <v>943</v>
      </c>
    </row>
    <row r="383" spans="4:4">
      <c r="D383" t="s">
        <v>944</v>
      </c>
    </row>
    <row r="384" spans="4:4">
      <c r="D384" t="s">
        <v>945</v>
      </c>
    </row>
    <row r="385" spans="4:4">
      <c r="D385" t="s">
        <v>946</v>
      </c>
    </row>
    <row r="386" spans="4:4">
      <c r="D386" t="s">
        <v>947</v>
      </c>
    </row>
    <row r="388" spans="4:4">
      <c r="D388" t="s">
        <v>948</v>
      </c>
    </row>
    <row r="389" spans="4:4">
      <c r="D389" t="s">
        <v>949</v>
      </c>
    </row>
    <row r="390" spans="4:4">
      <c r="D390" t="s">
        <v>950</v>
      </c>
    </row>
    <row r="391" spans="4:4">
      <c r="D391" t="s">
        <v>951</v>
      </c>
    </row>
    <row r="393" spans="4:4">
      <c r="D393" t="s">
        <v>952</v>
      </c>
    </row>
    <row r="394" spans="4:4">
      <c r="D394" t="s">
        <v>944</v>
      </c>
    </row>
    <row r="395" spans="4:4">
      <c r="D395" t="s">
        <v>953</v>
      </c>
    </row>
    <row r="396" spans="4:4">
      <c r="D396" t="s">
        <v>954</v>
      </c>
    </row>
    <row r="398" spans="4:4">
      <c r="D398" t="s">
        <v>955</v>
      </c>
    </row>
    <row r="399" spans="4:4">
      <c r="D399" t="s">
        <v>956</v>
      </c>
    </row>
    <row r="400" spans="4:4">
      <c r="D400" t="s">
        <v>957</v>
      </c>
    </row>
    <row r="401" spans="4:4">
      <c r="D401" t="s">
        <v>958</v>
      </c>
    </row>
    <row r="402" spans="4:4">
      <c r="D402" t="s">
        <v>951</v>
      </c>
    </row>
    <row r="404" spans="4:4">
      <c r="D404" t="s">
        <v>959</v>
      </c>
    </row>
    <row r="405" spans="4:4">
      <c r="D405" t="s">
        <v>960</v>
      </c>
    </row>
    <row r="406" spans="4:4">
      <c r="D406" t="s">
        <v>961</v>
      </c>
    </row>
    <row r="407" spans="4:4">
      <c r="D407" t="s">
        <v>962</v>
      </c>
    </row>
    <row r="408" spans="4:4">
      <c r="D408" t="s">
        <v>963</v>
      </c>
    </row>
    <row r="409" spans="4:4">
      <c r="D409" t="s">
        <v>964</v>
      </c>
    </row>
    <row r="411" spans="4:4">
      <c r="D411" t="s">
        <v>965</v>
      </c>
    </row>
    <row r="413" spans="4:4">
      <c r="D413" t="s">
        <v>966</v>
      </c>
    </row>
    <row r="414" spans="4:4">
      <c r="D414" t="s">
        <v>944</v>
      </c>
    </row>
    <row r="415" spans="4:4">
      <c r="D415" t="s">
        <v>967</v>
      </c>
    </row>
    <row r="416" spans="4:4">
      <c r="D416" t="s">
        <v>968</v>
      </c>
    </row>
    <row r="418" spans="4:4">
      <c r="D418" t="s">
        <v>969</v>
      </c>
    </row>
    <row r="419" spans="4:4">
      <c r="D419" t="s">
        <v>970</v>
      </c>
    </row>
    <row r="420" spans="4:4">
      <c r="D420" t="s">
        <v>951</v>
      </c>
    </row>
    <row r="422" spans="4:4">
      <c r="D422" t="s">
        <v>971</v>
      </c>
    </row>
    <row r="423" spans="4:4">
      <c r="D423" t="s">
        <v>944</v>
      </c>
    </row>
    <row r="424" spans="4:4">
      <c r="D424" t="s">
        <v>972</v>
      </c>
    </row>
    <row r="425" spans="4:4">
      <c r="D425" t="s">
        <v>973</v>
      </c>
    </row>
    <row r="426" spans="4:4">
      <c r="D426" t="s">
        <v>974</v>
      </c>
    </row>
    <row r="427" spans="4:4">
      <c r="D427" t="s">
        <v>975</v>
      </c>
    </row>
    <row r="428" spans="4:4">
      <c r="D428" t="s">
        <v>976</v>
      </c>
    </row>
    <row r="429" spans="4:4">
      <c r="D429" t="s">
        <v>977</v>
      </c>
    </row>
    <row r="430" spans="4:4">
      <c r="D430" t="s">
        <v>978</v>
      </c>
    </row>
    <row r="431" spans="4:4">
      <c r="D431" t="s">
        <v>979</v>
      </c>
    </row>
    <row r="432" spans="4:4" ht="409.5">
      <c r="D432" s="3" t="s">
        <v>980</v>
      </c>
    </row>
    <row r="433" spans="2:4" ht="16.5">
      <c r="B433" s="1">
        <v>45807</v>
      </c>
      <c r="C433" t="s">
        <v>982</v>
      </c>
      <c r="D433" t="s">
        <v>981</v>
      </c>
    </row>
    <row r="434" spans="2:4" ht="94.5">
      <c r="C434" t="s">
        <v>165</v>
      </c>
      <c r="D434" s="3" t="s">
        <v>983</v>
      </c>
    </row>
    <row r="435" spans="2:4" ht="16.5">
      <c r="C435" t="s">
        <v>165</v>
      </c>
      <c r="D435" t="s">
        <v>984</v>
      </c>
    </row>
    <row r="436" spans="2:4" ht="108">
      <c r="C436" t="s">
        <v>165</v>
      </c>
      <c r="D436" s="3" t="s">
        <v>985</v>
      </c>
    </row>
    <row r="437" spans="2:4" ht="108">
      <c r="D437" s="3" t="s">
        <v>986</v>
      </c>
    </row>
    <row r="438" spans="2:4" ht="108">
      <c r="D438" s="3" t="s">
        <v>987</v>
      </c>
    </row>
    <row r="439" spans="2:4" ht="16.5">
      <c r="D439" s="3" t="s">
        <v>988</v>
      </c>
    </row>
    <row r="440" spans="2:4" ht="16.5">
      <c r="D440" s="3" t="s">
        <v>989</v>
      </c>
    </row>
  </sheetData>
  <phoneticPr fontId="1"/>
  <hyperlinks>
    <hyperlink ref="E216" r:id="rId1" display="https://console.cloud.google.com/" xr:uid="{C22AE040-F098-4AD9-89CF-A383D040926C}"/>
    <hyperlink ref="E217" r:id="rId2" xr:uid="{E38476E8-6DBA-42FB-B4B7-1EB8CEDE4E88}"/>
    <hyperlink ref="E219" r:id="rId3" xr:uid="{B6AE74F3-E379-48F4-8B8D-7B49A90D86A2}"/>
    <hyperlink ref="E221" r:id="rId4" xr:uid="{5955D8BB-4302-4C1C-8232-A252B8E35C87}"/>
    <hyperlink ref="E245" r:id="rId5" xr:uid="{F47D0F3F-D694-495A-B0BD-B2E374DC9A03}"/>
    <hyperlink ref="E247" r:id="rId6" xr:uid="{97A7A4C4-EB2E-48AD-8E7B-F6A56F068F5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798D5-1561-47B7-A8EE-7C288CC680D1}">
  <dimension ref="C3:E83"/>
  <sheetViews>
    <sheetView tabSelected="1" topLeftCell="A46" workbookViewId="0">
      <selection activeCell="E72" sqref="E72"/>
    </sheetView>
  </sheetViews>
  <sheetFormatPr defaultRowHeight="13.5"/>
  <cols>
    <col min="3" max="3" width="112.5" bestFit="1" customWidth="1"/>
    <col min="4" max="4" width="9.5" bestFit="1" customWidth="1"/>
  </cols>
  <sheetData>
    <row r="3" spans="3:3">
      <c r="C3" t="s">
        <v>990</v>
      </c>
    </row>
    <row r="5" spans="3:3">
      <c r="C5" t="s">
        <v>991</v>
      </c>
    </row>
    <row r="7" spans="3:3">
      <c r="C7" t="s">
        <v>934</v>
      </c>
    </row>
    <row r="8" spans="3:3">
      <c r="C8" t="s">
        <v>992</v>
      </c>
    </row>
    <row r="10" spans="3:3">
      <c r="C10" t="s">
        <v>993</v>
      </c>
    </row>
    <row r="11" spans="3:3">
      <c r="C11" t="s">
        <v>994</v>
      </c>
    </row>
    <row r="12" spans="3:3">
      <c r="C12" t="s">
        <v>995</v>
      </c>
    </row>
    <row r="13" spans="3:3">
      <c r="C13" t="s">
        <v>996</v>
      </c>
    </row>
    <row r="14" spans="3:3">
      <c r="C14" t="s">
        <v>997</v>
      </c>
    </row>
    <row r="16" spans="3:3">
      <c r="C16" t="s">
        <v>998</v>
      </c>
    </row>
    <row r="17" spans="3:3">
      <c r="C17" t="s">
        <v>999</v>
      </c>
    </row>
    <row r="18" spans="3:3">
      <c r="C18" t="s">
        <v>1000</v>
      </c>
    </row>
    <row r="19" spans="3:3">
      <c r="C19" t="s">
        <v>1001</v>
      </c>
    </row>
    <row r="20" spans="3:3">
      <c r="C20" t="s">
        <v>1002</v>
      </c>
    </row>
    <row r="21" spans="3:3">
      <c r="C21" t="s">
        <v>1003</v>
      </c>
    </row>
    <row r="22" spans="3:3">
      <c r="C22" t="s">
        <v>1004</v>
      </c>
    </row>
    <row r="23" spans="3:3">
      <c r="C23" t="s">
        <v>1005</v>
      </c>
    </row>
    <row r="24" spans="3:3">
      <c r="C24" t="s">
        <v>1006</v>
      </c>
    </row>
    <row r="26" spans="3:3">
      <c r="C26" t="s">
        <v>1007</v>
      </c>
    </row>
    <row r="27" spans="3:3">
      <c r="C27" t="s">
        <v>1008</v>
      </c>
    </row>
    <row r="28" spans="3:3">
      <c r="C28" t="s">
        <v>1009</v>
      </c>
    </row>
    <row r="29" spans="3:3">
      <c r="C29" t="s">
        <v>1010</v>
      </c>
    </row>
    <row r="30" spans="3:3">
      <c r="C30" t="s">
        <v>1011</v>
      </c>
    </row>
    <row r="31" spans="3:3">
      <c r="C31" t="s">
        <v>1012</v>
      </c>
    </row>
    <row r="32" spans="3:3">
      <c r="C32" t="s">
        <v>1013</v>
      </c>
    </row>
    <row r="33" spans="3:3">
      <c r="C33" t="s">
        <v>1014</v>
      </c>
    </row>
    <row r="34" spans="3:3">
      <c r="C34" t="s">
        <v>1015</v>
      </c>
    </row>
    <row r="35" spans="3:3">
      <c r="C35" t="s">
        <v>1016</v>
      </c>
    </row>
    <row r="36" spans="3:3">
      <c r="C36" t="s">
        <v>1017</v>
      </c>
    </row>
    <row r="37" spans="3:3">
      <c r="C37" t="s">
        <v>1018</v>
      </c>
    </row>
    <row r="38" spans="3:3">
      <c r="C38" t="s">
        <v>1019</v>
      </c>
    </row>
    <row r="40" spans="3:3">
      <c r="C40" t="s">
        <v>1020</v>
      </c>
    </row>
    <row r="41" spans="3:3">
      <c r="C41" t="s">
        <v>1021</v>
      </c>
    </row>
    <row r="42" spans="3:3">
      <c r="C42" t="s">
        <v>1022</v>
      </c>
    </row>
    <row r="43" spans="3:3">
      <c r="C43" t="s">
        <v>1023</v>
      </c>
    </row>
    <row r="44" spans="3:3">
      <c r="C44" t="s">
        <v>1024</v>
      </c>
    </row>
    <row r="46" spans="3:3">
      <c r="C46" t="s">
        <v>1025</v>
      </c>
    </row>
    <row r="47" spans="3:3">
      <c r="C47" t="s">
        <v>1026</v>
      </c>
    </row>
    <row r="48" spans="3:3">
      <c r="C48" t="s">
        <v>1027</v>
      </c>
    </row>
    <row r="49" spans="3:3">
      <c r="C49" t="s">
        <v>1028</v>
      </c>
    </row>
    <row r="50" spans="3:3">
      <c r="C50" t="s">
        <v>1029</v>
      </c>
    </row>
    <row r="52" spans="3:3">
      <c r="C52" t="s">
        <v>1030</v>
      </c>
    </row>
    <row r="53" spans="3:3">
      <c r="C53" t="s">
        <v>1031</v>
      </c>
    </row>
    <row r="54" spans="3:3">
      <c r="C54" t="s">
        <v>1032</v>
      </c>
    </row>
    <row r="55" spans="3:3">
      <c r="C55" t="s">
        <v>1033</v>
      </c>
    </row>
    <row r="56" spans="3:3">
      <c r="C56" t="s">
        <v>1034</v>
      </c>
    </row>
    <row r="58" spans="3:3">
      <c r="C58" t="s">
        <v>1035</v>
      </c>
    </row>
    <row r="59" spans="3:3">
      <c r="C59" t="s">
        <v>1036</v>
      </c>
    </row>
    <row r="60" spans="3:3">
      <c r="C60" t="s">
        <v>1037</v>
      </c>
    </row>
    <row r="61" spans="3:3">
      <c r="C61" t="s">
        <v>1038</v>
      </c>
    </row>
    <row r="62" spans="3:3">
      <c r="C62" t="s">
        <v>1039</v>
      </c>
    </row>
    <row r="64" spans="3:3">
      <c r="C64" t="s">
        <v>1040</v>
      </c>
    </row>
    <row r="65" spans="3:5">
      <c r="C65" t="s">
        <v>1041</v>
      </c>
    </row>
    <row r="66" spans="3:5">
      <c r="C66" t="s">
        <v>1042</v>
      </c>
    </row>
    <row r="67" spans="3:5">
      <c r="C67" t="s">
        <v>1043</v>
      </c>
    </row>
    <row r="68" spans="3:5">
      <c r="C68" t="s">
        <v>1044</v>
      </c>
    </row>
    <row r="70" spans="3:5">
      <c r="C70" t="s">
        <v>1045</v>
      </c>
    </row>
    <row r="72" spans="3:5">
      <c r="C72" t="s">
        <v>1056</v>
      </c>
      <c r="D72" s="1">
        <v>45815</v>
      </c>
      <c r="E72" t="s">
        <v>1057</v>
      </c>
    </row>
    <row r="73" spans="3:5">
      <c r="C73" t="s">
        <v>1046</v>
      </c>
    </row>
    <row r="74" spans="3:5">
      <c r="C74" t="s">
        <v>1047</v>
      </c>
    </row>
    <row r="75" spans="3:5">
      <c r="C75" t="s">
        <v>1048</v>
      </c>
    </row>
    <row r="76" spans="3:5">
      <c r="C76" t="s">
        <v>1049</v>
      </c>
    </row>
    <row r="77" spans="3:5">
      <c r="C77" t="s">
        <v>1050</v>
      </c>
    </row>
    <row r="78" spans="3:5">
      <c r="C78" t="s">
        <v>1051</v>
      </c>
    </row>
    <row r="79" spans="3:5">
      <c r="C79" t="s">
        <v>1052</v>
      </c>
    </row>
    <row r="80" spans="3:5">
      <c r="C80" t="s">
        <v>1053</v>
      </c>
    </row>
    <row r="81" spans="3:3">
      <c r="C81" t="s">
        <v>1054</v>
      </c>
    </row>
    <row r="83" spans="3:3">
      <c r="C83" t="s">
        <v>1055</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2A840-B254-407E-8891-3992F636D229}">
  <dimension ref="B4:C4"/>
  <sheetViews>
    <sheetView workbookViewId="0">
      <selection activeCell="D4" sqref="D4"/>
    </sheetView>
  </sheetViews>
  <sheetFormatPr defaultRowHeight="13.5"/>
  <cols>
    <col min="2" max="2" width="11.625" bestFit="1" customWidth="1"/>
    <col min="3" max="3" width="66.5" bestFit="1" customWidth="1"/>
  </cols>
  <sheetData>
    <row r="4" spans="2:3">
      <c r="B4" s="1">
        <v>45801</v>
      </c>
      <c r="C4" t="s">
        <v>691</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174DA-A42C-4F9C-978E-61AEAAD9DDFF}">
  <dimension ref="B2:D35"/>
  <sheetViews>
    <sheetView workbookViewId="0">
      <selection activeCell="C36" sqref="C36"/>
    </sheetView>
  </sheetViews>
  <sheetFormatPr defaultRowHeight="13.5"/>
  <cols>
    <col min="2" max="2" width="10.5" bestFit="1" customWidth="1"/>
    <col min="3" max="3" width="61.75" bestFit="1" customWidth="1"/>
    <col min="4" max="4" width="68.5" bestFit="1" customWidth="1"/>
  </cols>
  <sheetData>
    <row r="2" spans="2:4">
      <c r="D2" t="s">
        <v>685</v>
      </c>
    </row>
    <row r="3" spans="2:4">
      <c r="C3" t="s">
        <v>681</v>
      </c>
    </row>
    <row r="4" spans="2:4">
      <c r="C4" t="s">
        <v>683</v>
      </c>
      <c r="D4" t="s">
        <v>684</v>
      </c>
    </row>
    <row r="5" spans="2:4">
      <c r="C5" t="s">
        <v>686</v>
      </c>
      <c r="D5" t="s">
        <v>683</v>
      </c>
    </row>
    <row r="6" spans="2:4">
      <c r="C6" t="s">
        <v>687</v>
      </c>
    </row>
    <row r="7" spans="2:4">
      <c r="C7" t="s">
        <v>688</v>
      </c>
      <c r="D7" t="s">
        <v>689</v>
      </c>
    </row>
    <row r="8" spans="2:4">
      <c r="C8" t="s">
        <v>690</v>
      </c>
    </row>
    <row r="10" spans="2:4">
      <c r="B10" s="1">
        <v>45807</v>
      </c>
      <c r="C10" t="s">
        <v>902</v>
      </c>
    </row>
    <row r="11" spans="2:4">
      <c r="C11" t="s">
        <v>903</v>
      </c>
    </row>
    <row r="12" spans="2:4">
      <c r="C12" t="s">
        <v>904</v>
      </c>
    </row>
    <row r="13" spans="2:4">
      <c r="C13" t="s">
        <v>905</v>
      </c>
    </row>
    <row r="14" spans="2:4">
      <c r="C14" t="s">
        <v>908</v>
      </c>
    </row>
    <row r="15" spans="2:4">
      <c r="C15" t="s">
        <v>909</v>
      </c>
    </row>
    <row r="16" spans="2:4">
      <c r="C16" t="s">
        <v>910</v>
      </c>
    </row>
    <row r="17" spans="3:3">
      <c r="C17" t="s">
        <v>911</v>
      </c>
    </row>
    <row r="18" spans="3:3">
      <c r="C18" t="s">
        <v>912</v>
      </c>
    </row>
    <row r="19" spans="3:3">
      <c r="C19" t="s">
        <v>913</v>
      </c>
    </row>
    <row r="20" spans="3:3">
      <c r="C20" t="s">
        <v>914</v>
      </c>
    </row>
    <row r="21" spans="3:3">
      <c r="C21" t="s">
        <v>915</v>
      </c>
    </row>
    <row r="22" spans="3:3">
      <c r="C22" t="s">
        <v>916</v>
      </c>
    </row>
    <row r="23" spans="3:3">
      <c r="C23" t="s">
        <v>917</v>
      </c>
    </row>
    <row r="24" spans="3:3">
      <c r="C24" t="s">
        <v>918</v>
      </c>
    </row>
    <row r="25" spans="3:3">
      <c r="C25" t="s">
        <v>919</v>
      </c>
    </row>
    <row r="26" spans="3:3">
      <c r="C26" t="s">
        <v>917</v>
      </c>
    </row>
    <row r="27" spans="3:3">
      <c r="C27" t="s">
        <v>920</v>
      </c>
    </row>
    <row r="28" spans="3:3">
      <c r="C28" t="s">
        <v>921</v>
      </c>
    </row>
    <row r="29" spans="3:3">
      <c r="C29" t="s">
        <v>922</v>
      </c>
    </row>
    <row r="30" spans="3:3">
      <c r="C30" t="s">
        <v>923</v>
      </c>
    </row>
    <row r="31" spans="3:3">
      <c r="C31" t="s">
        <v>924</v>
      </c>
    </row>
    <row r="32" spans="3:3">
      <c r="C32" t="s">
        <v>925</v>
      </c>
    </row>
    <row r="33" spans="3:3">
      <c r="C33" t="s">
        <v>926</v>
      </c>
    </row>
    <row r="34" spans="3:3">
      <c r="C34" t="s">
        <v>927</v>
      </c>
    </row>
    <row r="35" spans="3:3">
      <c r="C35" t="s">
        <v>927</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3E4F9-E544-431D-8912-173026FA7A6D}">
  <dimension ref="B3:E9"/>
  <sheetViews>
    <sheetView topLeftCell="A9" workbookViewId="0">
      <selection activeCell="E12" sqref="E12"/>
    </sheetView>
  </sheetViews>
  <sheetFormatPr defaultRowHeight="13.5"/>
  <cols>
    <col min="2" max="2" width="9.5" bestFit="1" customWidth="1"/>
    <col min="3" max="3" width="5.875" bestFit="1" customWidth="1"/>
    <col min="4" max="4" width="72.875" customWidth="1"/>
    <col min="5" max="5" width="72.25" customWidth="1"/>
  </cols>
  <sheetData>
    <row r="3" spans="2:5">
      <c r="D3" t="s">
        <v>605</v>
      </c>
      <c r="E3" t="s">
        <v>606</v>
      </c>
    </row>
    <row r="4" spans="2:5" ht="243">
      <c r="D4" s="3" t="s">
        <v>607</v>
      </c>
      <c r="E4" s="3" t="s">
        <v>608</v>
      </c>
    </row>
    <row r="5" spans="2:5" ht="40.5">
      <c r="D5" s="3" t="s">
        <v>607</v>
      </c>
    </row>
    <row r="6" spans="2:5" ht="216">
      <c r="D6" s="3" t="s">
        <v>610</v>
      </c>
      <c r="E6" s="3" t="s">
        <v>611</v>
      </c>
    </row>
    <row r="7" spans="2:5">
      <c r="D7" s="3" t="s">
        <v>612</v>
      </c>
      <c r="E7" t="s">
        <v>612</v>
      </c>
    </row>
    <row r="8" spans="2:5" ht="409.5">
      <c r="B8" s="1">
        <v>45778</v>
      </c>
      <c r="C8" s="16">
        <v>0.82777777777777772</v>
      </c>
      <c r="D8" s="3" t="s">
        <v>613</v>
      </c>
      <c r="E8" s="3" t="s">
        <v>614</v>
      </c>
    </row>
    <row r="9" spans="2:5" ht="409.5">
      <c r="B9" s="1">
        <v>45778</v>
      </c>
      <c r="C9" s="16">
        <v>0.82986111111111116</v>
      </c>
      <c r="D9" s="3" t="s">
        <v>615</v>
      </c>
      <c r="E9" s="3" t="s">
        <v>616</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75A8A-C1C1-4426-AFA3-B95CA8BCFB52}">
  <dimension ref="A2:BM291"/>
  <sheetViews>
    <sheetView workbookViewId="0">
      <pane xSplit="3" ySplit="3" topLeftCell="D97" activePane="bottomRight" state="frozen"/>
      <selection pane="topRight" activeCell="C1" sqref="C1"/>
      <selection pane="bottomLeft" activeCell="A4" sqref="A4"/>
      <selection pane="bottomRight" activeCell="H118" sqref="H118"/>
    </sheetView>
  </sheetViews>
  <sheetFormatPr defaultRowHeight="13.5"/>
  <cols>
    <col min="1" max="3" width="5.875" bestFit="1" customWidth="1"/>
    <col min="4" max="4" width="30" bestFit="1" customWidth="1"/>
    <col min="5" max="5" width="8.875" bestFit="1" customWidth="1"/>
    <col min="6" max="6" width="30" bestFit="1" customWidth="1"/>
    <col min="7" max="7" width="8.875" bestFit="1" customWidth="1"/>
    <col min="8" max="8" width="20.375" bestFit="1" customWidth="1"/>
    <col min="9" max="9" width="8.25" bestFit="1" customWidth="1"/>
    <col min="10" max="10" width="9.5" bestFit="1" customWidth="1"/>
    <col min="11" max="11" width="8.25" bestFit="1" customWidth="1"/>
    <col min="12" max="12" width="9.5" bestFit="1" customWidth="1"/>
    <col min="13" max="13" width="8.25" bestFit="1" customWidth="1"/>
    <col min="14" max="14" width="9.5" bestFit="1" customWidth="1"/>
    <col min="15" max="15" width="8.25" bestFit="1" customWidth="1"/>
    <col min="16" max="16" width="9.5" bestFit="1" customWidth="1"/>
    <col min="17" max="17" width="8.25" bestFit="1" customWidth="1"/>
    <col min="18" max="18" width="9.5" bestFit="1" customWidth="1"/>
    <col min="19" max="19" width="8.25" bestFit="1" customWidth="1"/>
    <col min="20" max="20" width="9.5" bestFit="1" customWidth="1"/>
    <col min="21" max="21" width="8.25" bestFit="1" customWidth="1"/>
    <col min="22" max="22" width="10.5" bestFit="1" customWidth="1"/>
    <col min="23" max="23" width="9.25" bestFit="1" customWidth="1"/>
    <col min="24" max="24" width="10.5" bestFit="1" customWidth="1"/>
    <col min="25" max="25" width="9.25" bestFit="1" customWidth="1"/>
    <col min="26" max="26" width="10.5" bestFit="1" customWidth="1"/>
    <col min="27" max="27" width="9.25" bestFit="1" customWidth="1"/>
    <col min="28" max="28" width="10.5" bestFit="1" customWidth="1"/>
    <col min="29" max="29" width="9.25" bestFit="1" customWidth="1"/>
    <col min="30" max="30" width="10.5" bestFit="1" customWidth="1"/>
    <col min="31" max="31" width="9.25" bestFit="1" customWidth="1"/>
    <col min="32" max="32" width="10.5" bestFit="1" customWidth="1"/>
    <col min="33" max="33" width="9.25" bestFit="1" customWidth="1"/>
    <col min="34" max="34" width="10.5" bestFit="1" customWidth="1"/>
    <col min="35" max="35" width="9.25" bestFit="1" customWidth="1"/>
    <col min="36" max="36" width="10.5" bestFit="1" customWidth="1"/>
    <col min="37" max="37" width="9.25" bestFit="1" customWidth="1"/>
    <col min="38" max="38" width="10.5" bestFit="1" customWidth="1"/>
    <col min="39" max="39" width="9.25" bestFit="1" customWidth="1"/>
    <col min="40" max="40" width="10.5" bestFit="1" customWidth="1"/>
    <col min="41" max="41" width="9.25" bestFit="1" customWidth="1"/>
    <col min="42" max="42" width="10.5" bestFit="1" customWidth="1"/>
    <col min="43" max="43" width="9.25" bestFit="1" customWidth="1"/>
    <col min="44" max="44" width="10.5" bestFit="1" customWidth="1"/>
    <col min="45" max="45" width="9.25" bestFit="1" customWidth="1"/>
    <col min="46" max="46" width="10.5" bestFit="1" customWidth="1"/>
    <col min="47" max="47" width="9.25" bestFit="1" customWidth="1"/>
    <col min="48" max="48" width="10.5" bestFit="1" customWidth="1"/>
    <col min="49" max="49" width="9.25" bestFit="1" customWidth="1"/>
    <col min="50" max="50" width="10.5" bestFit="1" customWidth="1"/>
    <col min="51" max="51" width="9.25" bestFit="1" customWidth="1"/>
    <col min="52" max="52" width="10.5" bestFit="1" customWidth="1"/>
    <col min="53" max="53" width="9.25" bestFit="1" customWidth="1"/>
    <col min="54" max="54" width="10.5" bestFit="1" customWidth="1"/>
    <col min="55" max="55" width="9.25" bestFit="1" customWidth="1"/>
    <col min="56" max="56" width="10.5" bestFit="1" customWidth="1"/>
    <col min="57" max="57" width="9.25" bestFit="1" customWidth="1"/>
    <col min="58" max="58" width="10.5" bestFit="1" customWidth="1"/>
    <col min="59" max="59" width="9.25" bestFit="1" customWidth="1"/>
    <col min="60" max="60" width="10.5" bestFit="1" customWidth="1"/>
    <col min="61" max="61" width="9.25" bestFit="1" customWidth="1"/>
    <col min="62" max="62" width="10.5" bestFit="1" customWidth="1"/>
    <col min="63" max="63" width="9.25" bestFit="1" customWidth="1"/>
    <col min="64" max="64" width="10.5" bestFit="1" customWidth="1"/>
    <col min="65" max="65" width="9.25" bestFit="1" customWidth="1"/>
  </cols>
  <sheetData>
    <row r="2" spans="1:65">
      <c r="A2" s="19" t="str">
        <f ca="1" xml:space="preserve"> TEXT(FLOOR(
      MOD(NOW(),1),
      TIME(0,5,0)
    ),"HH:mm")</f>
        <v>05:20</v>
      </c>
      <c r="B2" s="19"/>
      <c r="D2" s="1">
        <f ca="1">TODAY()</f>
        <v>45815</v>
      </c>
    </row>
    <row r="3" spans="1:65">
      <c r="A3" s="19" t="str">
        <f ca="1">TEXT(NOW(),"HH:mm")</f>
        <v>05:20</v>
      </c>
      <c r="B3" s="19"/>
      <c r="C3" s="17" t="s">
        <v>268</v>
      </c>
      <c r="D3" s="18">
        <v>45778</v>
      </c>
      <c r="E3" s="21" t="s">
        <v>603</v>
      </c>
      <c r="F3" s="18">
        <v>45779</v>
      </c>
      <c r="G3" s="21" t="s">
        <v>648</v>
      </c>
      <c r="H3" s="18">
        <v>45780</v>
      </c>
      <c r="I3" s="21" t="s">
        <v>574</v>
      </c>
      <c r="J3" s="18">
        <v>45781</v>
      </c>
      <c r="K3" s="21" t="s">
        <v>575</v>
      </c>
      <c r="L3" s="18">
        <v>45782</v>
      </c>
      <c r="M3" s="21" t="s">
        <v>576</v>
      </c>
      <c r="N3" s="18">
        <v>45783</v>
      </c>
      <c r="O3" s="21" t="s">
        <v>577</v>
      </c>
      <c r="P3" s="18">
        <v>45784</v>
      </c>
      <c r="Q3" s="21" t="s">
        <v>578</v>
      </c>
      <c r="R3" s="18">
        <v>45785</v>
      </c>
      <c r="S3" s="21" t="s">
        <v>579</v>
      </c>
      <c r="T3" s="18">
        <v>45786</v>
      </c>
      <c r="U3" s="21" t="s">
        <v>580</v>
      </c>
      <c r="V3" s="18">
        <v>45787</v>
      </c>
      <c r="W3" s="21" t="s">
        <v>581</v>
      </c>
      <c r="X3" s="18">
        <v>45788</v>
      </c>
      <c r="Y3" s="21" t="s">
        <v>582</v>
      </c>
      <c r="Z3" s="18">
        <v>45789</v>
      </c>
      <c r="AA3" s="21" t="s">
        <v>583</v>
      </c>
      <c r="AB3" s="18">
        <v>45790</v>
      </c>
      <c r="AC3" s="21" t="s">
        <v>584</v>
      </c>
      <c r="AD3" s="18">
        <v>45791</v>
      </c>
      <c r="AE3" s="21" t="s">
        <v>585</v>
      </c>
      <c r="AF3" s="18">
        <v>45792</v>
      </c>
      <c r="AG3" s="21" t="s">
        <v>586</v>
      </c>
      <c r="AH3" s="18">
        <v>45793</v>
      </c>
      <c r="AI3" s="21" t="s">
        <v>587</v>
      </c>
      <c r="AJ3" s="18">
        <v>45794</v>
      </c>
      <c r="AK3" s="21" t="s">
        <v>588</v>
      </c>
      <c r="AL3" s="18">
        <v>45795</v>
      </c>
      <c r="AM3" s="21" t="s">
        <v>589</v>
      </c>
      <c r="AN3" s="18">
        <v>45796</v>
      </c>
      <c r="AO3" s="21" t="s">
        <v>590</v>
      </c>
      <c r="AP3" s="18">
        <v>45797</v>
      </c>
      <c r="AQ3" s="21" t="s">
        <v>591</v>
      </c>
      <c r="AR3" s="18">
        <v>45798</v>
      </c>
      <c r="AS3" s="21" t="s">
        <v>592</v>
      </c>
      <c r="AT3" s="18">
        <v>45799</v>
      </c>
      <c r="AU3" s="21" t="s">
        <v>593</v>
      </c>
      <c r="AV3" s="18">
        <v>45800</v>
      </c>
      <c r="AW3" s="21" t="s">
        <v>594</v>
      </c>
      <c r="AX3" s="18">
        <v>45801</v>
      </c>
      <c r="AY3" s="21" t="s">
        <v>595</v>
      </c>
      <c r="AZ3" s="18">
        <v>45802</v>
      </c>
      <c r="BA3" s="21" t="s">
        <v>596</v>
      </c>
      <c r="BB3" s="18">
        <v>45803</v>
      </c>
      <c r="BC3" s="21" t="s">
        <v>597</v>
      </c>
      <c r="BD3" s="18">
        <v>45804</v>
      </c>
      <c r="BE3" s="21" t="s">
        <v>598</v>
      </c>
      <c r="BF3" s="18">
        <v>45805</v>
      </c>
      <c r="BG3" s="21" t="s">
        <v>599</v>
      </c>
      <c r="BH3" s="18">
        <v>45806</v>
      </c>
      <c r="BI3" s="21" t="s">
        <v>600</v>
      </c>
      <c r="BJ3" s="18">
        <v>45807</v>
      </c>
      <c r="BK3" s="21" t="s">
        <v>601</v>
      </c>
      <c r="BL3" s="18">
        <v>45808</v>
      </c>
      <c r="BM3" s="21" t="s">
        <v>602</v>
      </c>
    </row>
    <row r="4" spans="1:65">
      <c r="A4" t="str">
        <f t="shared" ref="A4:A67" ca="1" si="0">TEXT(
  FLOOR( MOD(NOW(),1), TIME(0,5,0) ),
  "HH:mm"
)</f>
        <v>05:20</v>
      </c>
      <c r="B4" t="str">
        <f t="shared" ref="B4:B67" si="1">TEXT($C4, "HH:mm")</f>
        <v>04:00</v>
      </c>
      <c r="C4" s="17" t="s">
        <v>269</v>
      </c>
      <c r="D4" s="17" t="s">
        <v>270</v>
      </c>
      <c r="E4" s="22"/>
      <c r="F4" s="22" t="s">
        <v>623</v>
      </c>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c r="BM4" s="22"/>
    </row>
    <row r="5" spans="1:65">
      <c r="A5" t="str">
        <f t="shared" ca="1" si="0"/>
        <v>05:20</v>
      </c>
      <c r="B5" t="str">
        <f t="shared" si="1"/>
        <v>04:05</v>
      </c>
      <c r="C5" s="17" t="s">
        <v>271</v>
      </c>
      <c r="D5" s="17" t="s">
        <v>270</v>
      </c>
      <c r="E5" s="22"/>
      <c r="F5" s="22" t="s">
        <v>623</v>
      </c>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row>
    <row r="6" spans="1:65">
      <c r="A6" t="str">
        <f t="shared" ca="1" si="0"/>
        <v>05:20</v>
      </c>
      <c r="B6" t="str">
        <f t="shared" si="1"/>
        <v>04:10</v>
      </c>
      <c r="C6" s="17" t="s">
        <v>272</v>
      </c>
      <c r="D6" s="17" t="s">
        <v>270</v>
      </c>
      <c r="E6" s="22"/>
      <c r="F6" s="22" t="s">
        <v>623</v>
      </c>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c r="BM6" s="22"/>
    </row>
    <row r="7" spans="1:65">
      <c r="A7" t="str">
        <f t="shared" ca="1" si="0"/>
        <v>05:20</v>
      </c>
      <c r="B7" t="str">
        <f t="shared" si="1"/>
        <v>04:15</v>
      </c>
      <c r="C7" s="17" t="s">
        <v>273</v>
      </c>
      <c r="D7" s="17" t="s">
        <v>270</v>
      </c>
      <c r="E7" s="22"/>
      <c r="F7" s="22" t="s">
        <v>623</v>
      </c>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c r="BM7" s="22"/>
    </row>
    <row r="8" spans="1:65">
      <c r="A8" t="str">
        <f t="shared" ca="1" si="0"/>
        <v>05:20</v>
      </c>
      <c r="B8" t="str">
        <f t="shared" si="1"/>
        <v>04:20</v>
      </c>
      <c r="C8" s="17" t="s">
        <v>274</v>
      </c>
      <c r="D8" s="17" t="s">
        <v>270</v>
      </c>
      <c r="E8" s="22"/>
      <c r="F8" s="22" t="s">
        <v>623</v>
      </c>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row>
    <row r="9" spans="1:65">
      <c r="A9" t="str">
        <f t="shared" ca="1" si="0"/>
        <v>05:20</v>
      </c>
      <c r="B9" t="str">
        <f t="shared" si="1"/>
        <v>04:25</v>
      </c>
      <c r="C9" s="17" t="s">
        <v>275</v>
      </c>
      <c r="D9" s="17" t="s">
        <v>270</v>
      </c>
      <c r="E9" s="22"/>
      <c r="F9" s="22" t="s">
        <v>623</v>
      </c>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row>
    <row r="10" spans="1:65">
      <c r="A10" t="str">
        <f t="shared" ca="1" si="0"/>
        <v>05:20</v>
      </c>
      <c r="B10" t="str">
        <f t="shared" si="1"/>
        <v>04:30</v>
      </c>
      <c r="C10" s="17" t="s">
        <v>276</v>
      </c>
      <c r="D10" s="17" t="s">
        <v>270</v>
      </c>
      <c r="E10" s="22"/>
      <c r="F10" s="22" t="s">
        <v>623</v>
      </c>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row>
    <row r="11" spans="1:65">
      <c r="A11" t="str">
        <f t="shared" ca="1" si="0"/>
        <v>05:20</v>
      </c>
      <c r="B11" t="str">
        <f t="shared" si="1"/>
        <v>04:35</v>
      </c>
      <c r="C11" s="17" t="s">
        <v>277</v>
      </c>
      <c r="D11" s="17" t="s">
        <v>270</v>
      </c>
      <c r="E11" s="22"/>
      <c r="F11" s="22" t="s">
        <v>623</v>
      </c>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row>
    <row r="12" spans="1:65">
      <c r="A12" t="str">
        <f t="shared" ca="1" si="0"/>
        <v>05:20</v>
      </c>
      <c r="B12" t="str">
        <f t="shared" si="1"/>
        <v>04:40</v>
      </c>
      <c r="C12" s="17" t="s">
        <v>278</v>
      </c>
      <c r="D12" s="17" t="s">
        <v>270</v>
      </c>
      <c r="E12" s="22"/>
      <c r="F12" s="22" t="s">
        <v>623</v>
      </c>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row>
    <row r="13" spans="1:65">
      <c r="A13" t="str">
        <f t="shared" ca="1" si="0"/>
        <v>05:20</v>
      </c>
      <c r="B13" t="str">
        <f t="shared" si="1"/>
        <v>04:45</v>
      </c>
      <c r="C13" s="17" t="s">
        <v>279</v>
      </c>
      <c r="D13" s="17" t="s">
        <v>270</v>
      </c>
      <c r="E13" s="22"/>
      <c r="F13" s="22" t="s">
        <v>623</v>
      </c>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row>
    <row r="14" spans="1:65">
      <c r="A14" t="str">
        <f t="shared" ca="1" si="0"/>
        <v>05:20</v>
      </c>
      <c r="B14" t="str">
        <f t="shared" si="1"/>
        <v>04:50</v>
      </c>
      <c r="C14" s="17" t="s">
        <v>280</v>
      </c>
      <c r="D14" s="17" t="s">
        <v>270</v>
      </c>
      <c r="E14" s="22"/>
      <c r="F14" s="22" t="s">
        <v>623</v>
      </c>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row>
    <row r="15" spans="1:65">
      <c r="A15" t="str">
        <f t="shared" ca="1" si="0"/>
        <v>05:20</v>
      </c>
      <c r="B15" t="str">
        <f t="shared" si="1"/>
        <v>04:55</v>
      </c>
      <c r="C15" s="17" t="s">
        <v>281</v>
      </c>
      <c r="D15" s="17" t="s">
        <v>270</v>
      </c>
      <c r="E15" s="22"/>
      <c r="F15" s="22" t="s">
        <v>623</v>
      </c>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row>
    <row r="16" spans="1:65">
      <c r="A16" t="str">
        <f t="shared" ca="1" si="0"/>
        <v>05:20</v>
      </c>
      <c r="B16" t="str">
        <f t="shared" si="1"/>
        <v>05:00</v>
      </c>
      <c r="C16" s="17" t="s">
        <v>282</v>
      </c>
      <c r="D16" s="17" t="s">
        <v>270</v>
      </c>
      <c r="E16" s="22"/>
      <c r="F16" s="22" t="s">
        <v>623</v>
      </c>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row>
    <row r="17" spans="1:65">
      <c r="A17" t="str">
        <f t="shared" ca="1" si="0"/>
        <v>05:20</v>
      </c>
      <c r="B17" t="str">
        <f t="shared" si="1"/>
        <v>05:05</v>
      </c>
      <c r="C17" s="17" t="s">
        <v>283</v>
      </c>
      <c r="D17" s="17" t="s">
        <v>270</v>
      </c>
      <c r="E17" s="22"/>
      <c r="F17" s="22" t="s">
        <v>623</v>
      </c>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row>
    <row r="18" spans="1:65">
      <c r="A18" t="str">
        <f t="shared" ca="1" si="0"/>
        <v>05:20</v>
      </c>
      <c r="B18" t="str">
        <f t="shared" si="1"/>
        <v>05:10</v>
      </c>
      <c r="C18" s="17" t="s">
        <v>284</v>
      </c>
      <c r="D18" s="17" t="s">
        <v>270</v>
      </c>
      <c r="E18" s="22"/>
      <c r="F18" s="22" t="s">
        <v>623</v>
      </c>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row>
    <row r="19" spans="1:65">
      <c r="A19" t="str">
        <f t="shared" ca="1" si="0"/>
        <v>05:20</v>
      </c>
      <c r="B19" t="str">
        <f t="shared" si="1"/>
        <v>05:15</v>
      </c>
      <c r="C19" s="17" t="s">
        <v>285</v>
      </c>
      <c r="D19" s="17" t="s">
        <v>270</v>
      </c>
      <c r="E19" s="22"/>
      <c r="F19" s="22" t="s">
        <v>623</v>
      </c>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row>
    <row r="20" spans="1:65">
      <c r="A20" t="str">
        <f t="shared" ca="1" si="0"/>
        <v>05:20</v>
      </c>
      <c r="B20" t="str">
        <f t="shared" si="1"/>
        <v>05:20</v>
      </c>
      <c r="C20" s="17" t="s">
        <v>286</v>
      </c>
      <c r="D20" s="17" t="s">
        <v>270</v>
      </c>
      <c r="E20" s="22"/>
      <c r="F20" s="22" t="s">
        <v>623</v>
      </c>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row>
    <row r="21" spans="1:65">
      <c r="A21" t="str">
        <f t="shared" ca="1" si="0"/>
        <v>05:20</v>
      </c>
      <c r="B21" t="str">
        <f t="shared" si="1"/>
        <v>05:25</v>
      </c>
      <c r="C21" s="17" t="s">
        <v>287</v>
      </c>
      <c r="D21" s="17" t="s">
        <v>270</v>
      </c>
      <c r="E21" s="22"/>
      <c r="F21" s="22" t="s">
        <v>623</v>
      </c>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row>
    <row r="22" spans="1:65">
      <c r="A22" t="str">
        <f t="shared" ca="1" si="0"/>
        <v>05:20</v>
      </c>
      <c r="B22" t="str">
        <f t="shared" si="1"/>
        <v>05:30</v>
      </c>
      <c r="C22" s="17" t="s">
        <v>288</v>
      </c>
      <c r="D22" s="17" t="s">
        <v>270</v>
      </c>
      <c r="E22" s="22"/>
      <c r="F22" s="22" t="s">
        <v>623</v>
      </c>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row>
    <row r="23" spans="1:65">
      <c r="A23" t="str">
        <f t="shared" ca="1" si="0"/>
        <v>05:20</v>
      </c>
      <c r="B23" t="str">
        <f t="shared" si="1"/>
        <v>05:35</v>
      </c>
      <c r="C23" s="17" t="s">
        <v>289</v>
      </c>
      <c r="D23" s="17" t="s">
        <v>270</v>
      </c>
      <c r="E23" s="22"/>
      <c r="F23" s="22" t="s">
        <v>623</v>
      </c>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row>
    <row r="24" spans="1:65">
      <c r="A24" t="str">
        <f t="shared" ca="1" si="0"/>
        <v>05:20</v>
      </c>
      <c r="B24" t="str">
        <f t="shared" si="1"/>
        <v>05:40</v>
      </c>
      <c r="C24" s="17" t="s">
        <v>290</v>
      </c>
      <c r="D24" s="17" t="s">
        <v>270</v>
      </c>
      <c r="E24" s="22"/>
      <c r="F24" s="22" t="s">
        <v>623</v>
      </c>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row>
    <row r="25" spans="1:65">
      <c r="A25" t="str">
        <f t="shared" ca="1" si="0"/>
        <v>05:20</v>
      </c>
      <c r="B25" t="str">
        <f t="shared" si="1"/>
        <v>05:45</v>
      </c>
      <c r="C25" s="17" t="s">
        <v>291</v>
      </c>
      <c r="D25" s="17" t="s">
        <v>270</v>
      </c>
      <c r="E25" s="22"/>
      <c r="F25" s="22" t="s">
        <v>623</v>
      </c>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row>
    <row r="26" spans="1:65">
      <c r="A26" t="str">
        <f t="shared" ca="1" si="0"/>
        <v>05:20</v>
      </c>
      <c r="B26" t="str">
        <f t="shared" si="1"/>
        <v>05:50</v>
      </c>
      <c r="C26" s="17" t="s">
        <v>292</v>
      </c>
      <c r="D26" s="17" t="s">
        <v>270</v>
      </c>
      <c r="E26" s="22"/>
      <c r="F26" s="22" t="s">
        <v>623</v>
      </c>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row>
    <row r="27" spans="1:65">
      <c r="A27" t="str">
        <f t="shared" ca="1" si="0"/>
        <v>05:20</v>
      </c>
      <c r="B27" t="str">
        <f t="shared" si="1"/>
        <v>05:55</v>
      </c>
      <c r="C27" s="17" t="s">
        <v>293</v>
      </c>
      <c r="D27" s="17" t="s">
        <v>270</v>
      </c>
      <c r="E27" s="22"/>
      <c r="F27" s="22" t="s">
        <v>623</v>
      </c>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row>
    <row r="28" spans="1:65">
      <c r="A28" t="str">
        <f t="shared" ca="1" si="0"/>
        <v>05:20</v>
      </c>
      <c r="B28" t="str">
        <f t="shared" si="1"/>
        <v>06:00</v>
      </c>
      <c r="C28" s="17" t="s">
        <v>294</v>
      </c>
      <c r="D28" s="17" t="s">
        <v>295</v>
      </c>
      <c r="E28" s="22"/>
      <c r="F28" s="22" t="s">
        <v>624</v>
      </c>
      <c r="G28" s="22"/>
      <c r="H28" s="22" t="s">
        <v>295</v>
      </c>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row>
    <row r="29" spans="1:65">
      <c r="A29" t="str">
        <f t="shared" ca="1" si="0"/>
        <v>05:20</v>
      </c>
      <c r="B29" t="str">
        <f t="shared" si="1"/>
        <v>06:05</v>
      </c>
      <c r="C29" s="17" t="s">
        <v>296</v>
      </c>
      <c r="D29" s="17" t="s">
        <v>297</v>
      </c>
      <c r="E29" s="22"/>
      <c r="F29" s="22" t="s">
        <v>625</v>
      </c>
      <c r="G29" s="22"/>
      <c r="H29" s="22" t="s">
        <v>652</v>
      </c>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row>
    <row r="30" spans="1:65">
      <c r="A30" t="str">
        <f t="shared" ca="1" si="0"/>
        <v>05:20</v>
      </c>
      <c r="B30" t="str">
        <f t="shared" si="1"/>
        <v>06:10</v>
      </c>
      <c r="C30" s="17" t="s">
        <v>298</v>
      </c>
      <c r="D30" s="17" t="s">
        <v>297</v>
      </c>
      <c r="E30" s="22"/>
      <c r="F30" s="22" t="s">
        <v>625</v>
      </c>
      <c r="G30" s="22"/>
      <c r="H30" s="22" t="s">
        <v>303</v>
      </c>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row>
    <row r="31" spans="1:65">
      <c r="A31" t="str">
        <f t="shared" ca="1" si="0"/>
        <v>05:20</v>
      </c>
      <c r="B31" t="str">
        <f t="shared" si="1"/>
        <v>06:15</v>
      </c>
      <c r="C31" s="17" t="s">
        <v>299</v>
      </c>
      <c r="D31" s="17" t="s">
        <v>297</v>
      </c>
      <c r="E31" s="22"/>
      <c r="F31" s="22" t="s">
        <v>625</v>
      </c>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row>
    <row r="32" spans="1:65">
      <c r="A32" t="str">
        <f t="shared" ca="1" si="0"/>
        <v>05:20</v>
      </c>
      <c r="B32" t="str">
        <f t="shared" si="1"/>
        <v>06:20</v>
      </c>
      <c r="C32" s="17" t="s">
        <v>300</v>
      </c>
      <c r="D32" s="17" t="s">
        <v>297</v>
      </c>
      <c r="E32" s="22"/>
      <c r="F32" s="22" t="s">
        <v>625</v>
      </c>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row>
    <row r="33" spans="1:65">
      <c r="A33" t="str">
        <f t="shared" ca="1" si="0"/>
        <v>05:20</v>
      </c>
      <c r="B33" t="str">
        <f t="shared" si="1"/>
        <v>06:25</v>
      </c>
      <c r="C33" s="17" t="s">
        <v>301</v>
      </c>
      <c r="D33" s="17" t="s">
        <v>297</v>
      </c>
      <c r="E33" s="22"/>
      <c r="F33" s="22" t="s">
        <v>625</v>
      </c>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row>
    <row r="34" spans="1:65">
      <c r="A34" t="str">
        <f t="shared" ca="1" si="0"/>
        <v>05:20</v>
      </c>
      <c r="B34" t="str">
        <f t="shared" si="1"/>
        <v>06:30</v>
      </c>
      <c r="C34" s="17" t="s">
        <v>302</v>
      </c>
      <c r="D34" s="17" t="s">
        <v>303</v>
      </c>
      <c r="E34" s="22"/>
      <c r="F34" s="22" t="s">
        <v>626</v>
      </c>
      <c r="G34" s="22"/>
      <c r="H34" s="22" t="s">
        <v>653</v>
      </c>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row>
    <row r="35" spans="1:65">
      <c r="A35" t="str">
        <f t="shared" ca="1" si="0"/>
        <v>05:20</v>
      </c>
      <c r="B35" t="str">
        <f t="shared" si="1"/>
        <v>06:35</v>
      </c>
      <c r="C35" s="17" t="s">
        <v>304</v>
      </c>
      <c r="D35" s="17" t="s">
        <v>303</v>
      </c>
      <c r="E35" s="22"/>
      <c r="F35" s="22" t="s">
        <v>626</v>
      </c>
      <c r="G35" s="22"/>
      <c r="H35" s="22" t="s">
        <v>654</v>
      </c>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row>
    <row r="36" spans="1:65">
      <c r="A36" t="str">
        <f t="shared" ca="1" si="0"/>
        <v>05:20</v>
      </c>
      <c r="B36" t="str">
        <f t="shared" si="1"/>
        <v>06:40</v>
      </c>
      <c r="C36" s="17" t="s">
        <v>305</v>
      </c>
      <c r="D36" s="17" t="s">
        <v>303</v>
      </c>
      <c r="E36" s="22"/>
      <c r="F36" s="22" t="s">
        <v>626</v>
      </c>
      <c r="G36" s="22"/>
      <c r="H36" s="22" t="s">
        <v>655</v>
      </c>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row>
    <row r="37" spans="1:65">
      <c r="A37" t="str">
        <f t="shared" ca="1" si="0"/>
        <v>05:20</v>
      </c>
      <c r="B37" t="str">
        <f t="shared" si="1"/>
        <v>06:45</v>
      </c>
      <c r="C37" s="17" t="s">
        <v>306</v>
      </c>
      <c r="D37" s="17" t="s">
        <v>303</v>
      </c>
      <c r="E37" s="22"/>
      <c r="F37" s="22" t="s">
        <v>626</v>
      </c>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row>
    <row r="38" spans="1:65">
      <c r="A38" t="str">
        <f t="shared" ca="1" si="0"/>
        <v>05:20</v>
      </c>
      <c r="B38" t="str">
        <f t="shared" si="1"/>
        <v>06:50</v>
      </c>
      <c r="C38" s="17" t="s">
        <v>307</v>
      </c>
      <c r="D38" s="17" t="s">
        <v>303</v>
      </c>
      <c r="E38" s="22"/>
      <c r="F38" s="22" t="s">
        <v>626</v>
      </c>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row>
    <row r="39" spans="1:65">
      <c r="A39" t="str">
        <f t="shared" ca="1" si="0"/>
        <v>05:20</v>
      </c>
      <c r="B39" t="str">
        <f t="shared" si="1"/>
        <v>06:55</v>
      </c>
      <c r="C39" s="17" t="s">
        <v>308</v>
      </c>
      <c r="D39" s="17" t="s">
        <v>303</v>
      </c>
      <c r="E39" s="22"/>
      <c r="F39" s="22" t="s">
        <v>626</v>
      </c>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row>
    <row r="40" spans="1:65">
      <c r="A40" t="str">
        <f t="shared" ca="1" si="0"/>
        <v>05:20</v>
      </c>
      <c r="B40" t="str">
        <f t="shared" si="1"/>
        <v>07:00</v>
      </c>
      <c r="C40" s="17" t="s">
        <v>309</v>
      </c>
      <c r="D40" s="17" t="s">
        <v>310</v>
      </c>
      <c r="E40" s="22"/>
      <c r="F40" s="22" t="s">
        <v>627</v>
      </c>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row>
    <row r="41" spans="1:65">
      <c r="A41" t="str">
        <f t="shared" ca="1" si="0"/>
        <v>05:20</v>
      </c>
      <c r="B41" t="str">
        <f t="shared" si="1"/>
        <v>07:05</v>
      </c>
      <c r="C41" s="17" t="s">
        <v>311</v>
      </c>
      <c r="D41" s="17" t="s">
        <v>310</v>
      </c>
      <c r="E41" s="22"/>
      <c r="F41" s="22" t="s">
        <v>627</v>
      </c>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row>
    <row r="42" spans="1:65">
      <c r="A42" t="str">
        <f t="shared" ca="1" si="0"/>
        <v>05:20</v>
      </c>
      <c r="B42" t="str">
        <f t="shared" si="1"/>
        <v>07:10</v>
      </c>
      <c r="C42" s="17" t="s">
        <v>312</v>
      </c>
      <c r="D42" s="17" t="s">
        <v>310</v>
      </c>
      <c r="E42" s="22"/>
      <c r="F42" s="22" t="s">
        <v>627</v>
      </c>
      <c r="G42" s="22"/>
      <c r="H42" s="22" t="s">
        <v>656</v>
      </c>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row>
    <row r="43" spans="1:65">
      <c r="A43" t="str">
        <f t="shared" ca="1" si="0"/>
        <v>05:20</v>
      </c>
      <c r="B43" t="str">
        <f t="shared" si="1"/>
        <v>07:15</v>
      </c>
      <c r="C43" s="17" t="s">
        <v>313</v>
      </c>
      <c r="D43" s="17" t="s">
        <v>310</v>
      </c>
      <c r="E43" s="22"/>
      <c r="F43" s="22" t="s">
        <v>627</v>
      </c>
      <c r="G43" s="22"/>
      <c r="H43" s="22" t="s">
        <v>657</v>
      </c>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row>
    <row r="44" spans="1:65">
      <c r="A44" t="str">
        <f t="shared" ca="1" si="0"/>
        <v>05:20</v>
      </c>
      <c r="B44" t="str">
        <f t="shared" si="1"/>
        <v>07:20</v>
      </c>
      <c r="C44" s="17" t="s">
        <v>314</v>
      </c>
      <c r="D44" s="17" t="s">
        <v>310</v>
      </c>
      <c r="E44" s="22"/>
      <c r="F44" s="22" t="s">
        <v>627</v>
      </c>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row>
    <row r="45" spans="1:65">
      <c r="A45" t="str">
        <f t="shared" ca="1" si="0"/>
        <v>05:20</v>
      </c>
      <c r="B45" t="str">
        <f t="shared" si="1"/>
        <v>07:25</v>
      </c>
      <c r="C45" s="17" t="s">
        <v>315</v>
      </c>
      <c r="D45" s="17" t="s">
        <v>310</v>
      </c>
      <c r="E45" s="22"/>
      <c r="F45" s="22" t="s">
        <v>627</v>
      </c>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row>
    <row r="46" spans="1:65">
      <c r="A46" t="str">
        <f t="shared" ca="1" si="0"/>
        <v>05:20</v>
      </c>
      <c r="B46" t="str">
        <f t="shared" si="1"/>
        <v>07:30</v>
      </c>
      <c r="C46" s="17" t="s">
        <v>316</v>
      </c>
      <c r="D46" s="17" t="s">
        <v>317</v>
      </c>
      <c r="E46" s="22"/>
      <c r="F46" s="22" t="s">
        <v>628</v>
      </c>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row>
    <row r="47" spans="1:65">
      <c r="A47" t="str">
        <f t="shared" ca="1" si="0"/>
        <v>05:20</v>
      </c>
      <c r="B47" t="str">
        <f t="shared" si="1"/>
        <v>07:35</v>
      </c>
      <c r="C47" s="17" t="s">
        <v>318</v>
      </c>
      <c r="D47" s="17" t="s">
        <v>317</v>
      </c>
      <c r="E47" s="22"/>
      <c r="F47" s="22" t="s">
        <v>628</v>
      </c>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row>
    <row r="48" spans="1:65">
      <c r="A48" t="str">
        <f t="shared" ca="1" si="0"/>
        <v>05:20</v>
      </c>
      <c r="B48" t="str">
        <f t="shared" si="1"/>
        <v>07:40</v>
      </c>
      <c r="C48" s="17" t="s">
        <v>319</v>
      </c>
      <c r="D48" s="17" t="s">
        <v>317</v>
      </c>
      <c r="E48" s="22"/>
      <c r="F48" s="22" t="s">
        <v>628</v>
      </c>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row>
    <row r="49" spans="1:65">
      <c r="A49" t="str">
        <f t="shared" ca="1" si="0"/>
        <v>05:20</v>
      </c>
      <c r="B49" t="str">
        <f t="shared" si="1"/>
        <v>07:45</v>
      </c>
      <c r="C49" s="17" t="s">
        <v>320</v>
      </c>
      <c r="D49" s="17" t="s">
        <v>317</v>
      </c>
      <c r="E49" s="22"/>
      <c r="F49" s="22" t="s">
        <v>628</v>
      </c>
      <c r="G49" s="22"/>
      <c r="H49" s="22" t="s">
        <v>658</v>
      </c>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row>
    <row r="50" spans="1:65">
      <c r="A50" t="str">
        <f t="shared" ca="1" si="0"/>
        <v>05:20</v>
      </c>
      <c r="B50" t="str">
        <f t="shared" si="1"/>
        <v>07:50</v>
      </c>
      <c r="C50" s="17" t="s">
        <v>321</v>
      </c>
      <c r="D50" s="17" t="s">
        <v>317</v>
      </c>
      <c r="E50" s="22"/>
      <c r="F50" s="22" t="s">
        <v>628</v>
      </c>
      <c r="G50" s="22"/>
      <c r="H50" s="22" t="s">
        <v>659</v>
      </c>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row>
    <row r="51" spans="1:65">
      <c r="A51" t="str">
        <f t="shared" ca="1" si="0"/>
        <v>05:20</v>
      </c>
      <c r="B51" t="str">
        <f t="shared" si="1"/>
        <v>07:55</v>
      </c>
      <c r="C51" s="17" t="s">
        <v>322</v>
      </c>
      <c r="D51" s="17" t="s">
        <v>317</v>
      </c>
      <c r="E51" s="22"/>
      <c r="F51" s="22" t="s">
        <v>628</v>
      </c>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row>
    <row r="52" spans="1:65">
      <c r="A52" t="str">
        <f t="shared" ca="1" si="0"/>
        <v>05:20</v>
      </c>
      <c r="B52" t="str">
        <f t="shared" si="1"/>
        <v>08:00</v>
      </c>
      <c r="C52" s="17" t="s">
        <v>323</v>
      </c>
      <c r="D52" s="17" t="s">
        <v>324</v>
      </c>
      <c r="E52" s="22"/>
      <c r="F52" s="22" t="s">
        <v>629</v>
      </c>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row>
    <row r="53" spans="1:65">
      <c r="A53" t="str">
        <f t="shared" ca="1" si="0"/>
        <v>05:20</v>
      </c>
      <c r="B53" t="str">
        <f t="shared" si="1"/>
        <v>08:05</v>
      </c>
      <c r="C53" s="17" t="s">
        <v>325</v>
      </c>
      <c r="D53" s="17" t="s">
        <v>324</v>
      </c>
      <c r="E53" s="22"/>
      <c r="F53" s="22" t="s">
        <v>629</v>
      </c>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row>
    <row r="54" spans="1:65">
      <c r="A54" t="str">
        <f t="shared" ca="1" si="0"/>
        <v>05:20</v>
      </c>
      <c r="B54" t="str">
        <f t="shared" si="1"/>
        <v>08:10</v>
      </c>
      <c r="C54" s="17" t="s">
        <v>326</v>
      </c>
      <c r="D54" s="17" t="s">
        <v>324</v>
      </c>
      <c r="E54" s="22"/>
      <c r="F54" s="22" t="s">
        <v>629</v>
      </c>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row>
    <row r="55" spans="1:65">
      <c r="A55" t="str">
        <f t="shared" ca="1" si="0"/>
        <v>05:20</v>
      </c>
      <c r="B55" t="str">
        <f t="shared" si="1"/>
        <v>08:15</v>
      </c>
      <c r="C55" s="17" t="s">
        <v>327</v>
      </c>
      <c r="D55" s="17" t="s">
        <v>324</v>
      </c>
      <c r="E55" s="22"/>
      <c r="F55" s="22" t="s">
        <v>629</v>
      </c>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row>
    <row r="56" spans="1:65">
      <c r="A56" t="str">
        <f t="shared" ca="1" si="0"/>
        <v>05:20</v>
      </c>
      <c r="B56" t="str">
        <f t="shared" si="1"/>
        <v>08:20</v>
      </c>
      <c r="C56" s="17" t="s">
        <v>328</v>
      </c>
      <c r="D56" s="17" t="s">
        <v>324</v>
      </c>
      <c r="E56" s="22"/>
      <c r="F56" s="22" t="s">
        <v>629</v>
      </c>
      <c r="G56" s="22"/>
      <c r="H56" s="22" t="s">
        <v>310</v>
      </c>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row>
    <row r="57" spans="1:65">
      <c r="A57" t="str">
        <f t="shared" ca="1" si="0"/>
        <v>05:20</v>
      </c>
      <c r="B57" t="str">
        <f t="shared" si="1"/>
        <v>08:25</v>
      </c>
      <c r="C57" s="17" t="s">
        <v>329</v>
      </c>
      <c r="D57" s="17" t="s">
        <v>324</v>
      </c>
      <c r="E57" s="22"/>
      <c r="F57" s="22" t="s">
        <v>629</v>
      </c>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row>
    <row r="58" spans="1:65">
      <c r="A58" t="str">
        <f t="shared" ca="1" si="0"/>
        <v>05:20</v>
      </c>
      <c r="B58" t="str">
        <f t="shared" si="1"/>
        <v>08:30</v>
      </c>
      <c r="C58" s="17" t="s">
        <v>330</v>
      </c>
      <c r="D58" s="17" t="s">
        <v>324</v>
      </c>
      <c r="E58" s="22"/>
      <c r="F58" s="22" t="s">
        <v>629</v>
      </c>
      <c r="G58" s="22"/>
      <c r="H58" s="22" t="s">
        <v>317</v>
      </c>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row>
    <row r="59" spans="1:65">
      <c r="A59" t="str">
        <f t="shared" ca="1" si="0"/>
        <v>05:20</v>
      </c>
      <c r="B59" t="str">
        <f t="shared" si="1"/>
        <v>08:35</v>
      </c>
      <c r="C59" s="17" t="s">
        <v>331</v>
      </c>
      <c r="D59" s="17" t="s">
        <v>324</v>
      </c>
      <c r="E59" s="22"/>
      <c r="F59" s="22" t="s">
        <v>629</v>
      </c>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row>
    <row r="60" spans="1:65">
      <c r="A60" t="str">
        <f t="shared" ca="1" si="0"/>
        <v>05:20</v>
      </c>
      <c r="B60" t="str">
        <f t="shared" si="1"/>
        <v>08:40</v>
      </c>
      <c r="C60" s="17" t="s">
        <v>332</v>
      </c>
      <c r="D60" s="17" t="s">
        <v>324</v>
      </c>
      <c r="E60" s="22"/>
      <c r="F60" s="22" t="s">
        <v>629</v>
      </c>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row>
    <row r="61" spans="1:65">
      <c r="A61" t="str">
        <f t="shared" ca="1" si="0"/>
        <v>05:20</v>
      </c>
      <c r="B61" t="str">
        <f t="shared" si="1"/>
        <v>08:45</v>
      </c>
      <c r="C61" s="17" t="s">
        <v>333</v>
      </c>
      <c r="D61" s="17" t="s">
        <v>324</v>
      </c>
      <c r="E61" s="22"/>
      <c r="F61" s="22" t="s">
        <v>629</v>
      </c>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row>
    <row r="62" spans="1:65">
      <c r="A62" t="str">
        <f t="shared" ca="1" si="0"/>
        <v>05:20</v>
      </c>
      <c r="B62" t="str">
        <f t="shared" si="1"/>
        <v>08:50</v>
      </c>
      <c r="C62" s="17" t="s">
        <v>334</v>
      </c>
      <c r="D62" s="17" t="s">
        <v>324</v>
      </c>
      <c r="E62" s="22"/>
      <c r="F62" s="22" t="s">
        <v>629</v>
      </c>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row>
    <row r="63" spans="1:65">
      <c r="A63" t="str">
        <f t="shared" ca="1" si="0"/>
        <v>05:20</v>
      </c>
      <c r="B63" t="str">
        <f t="shared" si="1"/>
        <v>08:55</v>
      </c>
      <c r="C63" s="17" t="s">
        <v>335</v>
      </c>
      <c r="D63" s="17" t="s">
        <v>324</v>
      </c>
      <c r="E63" s="22"/>
      <c r="F63" s="22" t="s">
        <v>629</v>
      </c>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row>
    <row r="64" spans="1:65">
      <c r="A64" t="str">
        <f t="shared" ca="1" si="0"/>
        <v>05:20</v>
      </c>
      <c r="B64" t="str">
        <f t="shared" si="1"/>
        <v>09:00</v>
      </c>
      <c r="C64" s="17" t="s">
        <v>336</v>
      </c>
      <c r="D64" s="17" t="s">
        <v>324</v>
      </c>
      <c r="E64" s="22"/>
      <c r="F64" s="22" t="s">
        <v>629</v>
      </c>
      <c r="G64" s="22"/>
      <c r="H64" s="22" t="s">
        <v>660</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row>
    <row r="65" spans="1:65">
      <c r="A65" t="str">
        <f t="shared" ca="1" si="0"/>
        <v>05:20</v>
      </c>
      <c r="B65" t="str">
        <f t="shared" si="1"/>
        <v>09:05</v>
      </c>
      <c r="C65" s="17" t="s">
        <v>337</v>
      </c>
      <c r="D65" s="17" t="s">
        <v>324</v>
      </c>
      <c r="E65" s="22"/>
      <c r="F65" s="22" t="s">
        <v>629</v>
      </c>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row>
    <row r="66" spans="1:65">
      <c r="A66" t="str">
        <f t="shared" ca="1" si="0"/>
        <v>05:20</v>
      </c>
      <c r="B66" t="str">
        <f t="shared" si="1"/>
        <v>09:10</v>
      </c>
      <c r="C66" s="17" t="s">
        <v>338</v>
      </c>
      <c r="D66" s="17" t="s">
        <v>324</v>
      </c>
      <c r="E66" s="22"/>
      <c r="F66" s="22" t="s">
        <v>629</v>
      </c>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row>
    <row r="67" spans="1:65">
      <c r="A67" t="str">
        <f t="shared" ca="1" si="0"/>
        <v>05:20</v>
      </c>
      <c r="B67" t="str">
        <f t="shared" si="1"/>
        <v>09:15</v>
      </c>
      <c r="C67" s="17" t="s">
        <v>339</v>
      </c>
      <c r="D67" s="17" t="s">
        <v>324</v>
      </c>
      <c r="E67" s="22"/>
      <c r="F67" s="22" t="s">
        <v>629</v>
      </c>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row>
    <row r="68" spans="1:65">
      <c r="A68" t="str">
        <f t="shared" ref="A68:A131" ca="1" si="2">TEXT(
  FLOOR( MOD(NOW(),1), TIME(0,5,0) ),
  "HH:mm"
)</f>
        <v>05:20</v>
      </c>
      <c r="B68" t="str">
        <f t="shared" ref="B68:B131" si="3">TEXT($C68, "HH:mm")</f>
        <v>09:20</v>
      </c>
      <c r="C68" s="17" t="s">
        <v>340</v>
      </c>
      <c r="D68" s="17" t="s">
        <v>324</v>
      </c>
      <c r="E68" s="22"/>
      <c r="F68" s="22" t="s">
        <v>629</v>
      </c>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row>
    <row r="69" spans="1:65">
      <c r="A69" t="str">
        <f t="shared" ca="1" si="2"/>
        <v>05:20</v>
      </c>
      <c r="B69" t="str">
        <f t="shared" si="3"/>
        <v>09:25</v>
      </c>
      <c r="C69" s="17" t="s">
        <v>341</v>
      </c>
      <c r="D69" s="17" t="s">
        <v>324</v>
      </c>
      <c r="E69" s="22"/>
      <c r="F69" s="22" t="s">
        <v>629</v>
      </c>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row>
    <row r="70" spans="1:65">
      <c r="A70" t="str">
        <f t="shared" ca="1" si="2"/>
        <v>05:20</v>
      </c>
      <c r="B70" t="str">
        <f t="shared" si="3"/>
        <v>09:30</v>
      </c>
      <c r="C70" s="17" t="s">
        <v>342</v>
      </c>
      <c r="D70" s="17" t="s">
        <v>324</v>
      </c>
      <c r="E70" s="22"/>
      <c r="F70" s="22" t="s">
        <v>629</v>
      </c>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row>
    <row r="71" spans="1:65">
      <c r="A71" t="str">
        <f t="shared" ca="1" si="2"/>
        <v>05:20</v>
      </c>
      <c r="B71" t="str">
        <f t="shared" si="3"/>
        <v>09:35</v>
      </c>
      <c r="C71" s="17" t="s">
        <v>343</v>
      </c>
      <c r="D71" s="17" t="s">
        <v>324</v>
      </c>
      <c r="E71" s="22"/>
      <c r="F71" s="22" t="s">
        <v>629</v>
      </c>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row>
    <row r="72" spans="1:65">
      <c r="A72" t="str">
        <f t="shared" ca="1" si="2"/>
        <v>05:20</v>
      </c>
      <c r="B72" t="str">
        <f t="shared" si="3"/>
        <v>09:40</v>
      </c>
      <c r="C72" s="17" t="s">
        <v>344</v>
      </c>
      <c r="D72" s="17" t="s">
        <v>324</v>
      </c>
      <c r="E72" s="22"/>
      <c r="F72" s="22" t="s">
        <v>629</v>
      </c>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row>
    <row r="73" spans="1:65">
      <c r="A73" t="str">
        <f t="shared" ca="1" si="2"/>
        <v>05:20</v>
      </c>
      <c r="B73" t="str">
        <f t="shared" si="3"/>
        <v>09:45</v>
      </c>
      <c r="C73" s="17" t="s">
        <v>345</v>
      </c>
      <c r="D73" s="17" t="s">
        <v>324</v>
      </c>
      <c r="E73" s="22"/>
      <c r="F73" s="22" t="s">
        <v>629</v>
      </c>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row>
    <row r="74" spans="1:65">
      <c r="A74" t="str">
        <f t="shared" ca="1" si="2"/>
        <v>05:20</v>
      </c>
      <c r="B74" t="str">
        <f t="shared" si="3"/>
        <v>09:50</v>
      </c>
      <c r="C74" s="17" t="s">
        <v>346</v>
      </c>
      <c r="D74" s="17" t="s">
        <v>324</v>
      </c>
      <c r="E74" s="22"/>
      <c r="F74" s="22" t="s">
        <v>629</v>
      </c>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row>
    <row r="75" spans="1:65">
      <c r="A75" t="str">
        <f t="shared" ca="1" si="2"/>
        <v>05:20</v>
      </c>
      <c r="B75" t="str">
        <f t="shared" si="3"/>
        <v>09:55</v>
      </c>
      <c r="C75" s="17" t="s">
        <v>347</v>
      </c>
      <c r="D75" s="17" t="s">
        <v>324</v>
      </c>
      <c r="E75" s="22"/>
      <c r="F75" s="22" t="s">
        <v>629</v>
      </c>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row>
    <row r="76" spans="1:65">
      <c r="A76" t="str">
        <f t="shared" ca="1" si="2"/>
        <v>05:20</v>
      </c>
      <c r="B76" t="str">
        <f t="shared" si="3"/>
        <v>10:00</v>
      </c>
      <c r="C76" s="17" t="s">
        <v>348</v>
      </c>
      <c r="D76" s="17" t="s">
        <v>324</v>
      </c>
      <c r="E76" s="22"/>
      <c r="F76" s="22" t="s">
        <v>629</v>
      </c>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row>
    <row r="77" spans="1:65">
      <c r="A77" t="str">
        <f t="shared" ca="1" si="2"/>
        <v>05:20</v>
      </c>
      <c r="B77" t="str">
        <f t="shared" si="3"/>
        <v>10:05</v>
      </c>
      <c r="C77" s="17" t="s">
        <v>349</v>
      </c>
      <c r="D77" s="17" t="s">
        <v>324</v>
      </c>
      <c r="E77" s="22"/>
      <c r="F77" s="22" t="s">
        <v>629</v>
      </c>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row>
    <row r="78" spans="1:65">
      <c r="A78" t="str">
        <f t="shared" ca="1" si="2"/>
        <v>05:20</v>
      </c>
      <c r="B78" t="str">
        <f t="shared" si="3"/>
        <v>10:10</v>
      </c>
      <c r="C78" s="17" t="s">
        <v>350</v>
      </c>
      <c r="D78" s="17" t="s">
        <v>324</v>
      </c>
      <c r="E78" s="22"/>
      <c r="F78" s="22" t="s">
        <v>629</v>
      </c>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row>
    <row r="79" spans="1:65">
      <c r="A79" t="str">
        <f t="shared" ca="1" si="2"/>
        <v>05:20</v>
      </c>
      <c r="B79" t="str">
        <f t="shared" si="3"/>
        <v>10:15</v>
      </c>
      <c r="C79" s="17" t="s">
        <v>351</v>
      </c>
      <c r="D79" s="17" t="s">
        <v>324</v>
      </c>
      <c r="E79" s="22"/>
      <c r="F79" s="22" t="s">
        <v>629</v>
      </c>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row>
    <row r="80" spans="1:65">
      <c r="A80" t="str">
        <f t="shared" ca="1" si="2"/>
        <v>05:20</v>
      </c>
      <c r="B80" t="str">
        <f t="shared" si="3"/>
        <v>10:20</v>
      </c>
      <c r="C80" s="17" t="s">
        <v>352</v>
      </c>
      <c r="D80" s="17" t="s">
        <v>324</v>
      </c>
      <c r="E80" s="22"/>
      <c r="F80" s="22" t="s">
        <v>629</v>
      </c>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row>
    <row r="81" spans="1:65">
      <c r="A81" t="str">
        <f t="shared" ca="1" si="2"/>
        <v>05:20</v>
      </c>
      <c r="B81" t="str">
        <f t="shared" si="3"/>
        <v>10:25</v>
      </c>
      <c r="C81" s="17" t="s">
        <v>353</v>
      </c>
      <c r="D81" s="17" t="s">
        <v>324</v>
      </c>
      <c r="E81" s="22"/>
      <c r="F81" s="22" t="s">
        <v>629</v>
      </c>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row>
    <row r="82" spans="1:65">
      <c r="A82" t="str">
        <f t="shared" ca="1" si="2"/>
        <v>05:20</v>
      </c>
      <c r="B82" t="str">
        <f t="shared" si="3"/>
        <v>10:30</v>
      </c>
      <c r="C82" s="17" t="s">
        <v>354</v>
      </c>
      <c r="D82" s="17" t="s">
        <v>324</v>
      </c>
      <c r="E82" s="22"/>
      <c r="F82" s="22" t="s">
        <v>629</v>
      </c>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row>
    <row r="83" spans="1:65">
      <c r="A83" t="str">
        <f t="shared" ca="1" si="2"/>
        <v>05:20</v>
      </c>
      <c r="B83" t="str">
        <f t="shared" si="3"/>
        <v>10:35</v>
      </c>
      <c r="C83" s="17" t="s">
        <v>355</v>
      </c>
      <c r="D83" s="17" t="s">
        <v>324</v>
      </c>
      <c r="E83" s="22"/>
      <c r="F83" s="22" t="s">
        <v>629</v>
      </c>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row>
    <row r="84" spans="1:65">
      <c r="A84" t="str">
        <f t="shared" ca="1" si="2"/>
        <v>05:20</v>
      </c>
      <c r="B84" t="str">
        <f t="shared" si="3"/>
        <v>10:40</v>
      </c>
      <c r="C84" s="17" t="s">
        <v>356</v>
      </c>
      <c r="D84" s="17" t="s">
        <v>324</v>
      </c>
      <c r="E84" s="22"/>
      <c r="F84" s="22" t="s">
        <v>629</v>
      </c>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row>
    <row r="85" spans="1:65">
      <c r="A85" t="str">
        <f t="shared" ca="1" si="2"/>
        <v>05:20</v>
      </c>
      <c r="B85" t="str">
        <f t="shared" si="3"/>
        <v>10:45</v>
      </c>
      <c r="C85" s="17" t="s">
        <v>357</v>
      </c>
      <c r="D85" s="17" t="s">
        <v>324</v>
      </c>
      <c r="E85" s="22"/>
      <c r="F85" s="22" t="s">
        <v>629</v>
      </c>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row>
    <row r="86" spans="1:65">
      <c r="A86" t="str">
        <f t="shared" ca="1" si="2"/>
        <v>05:20</v>
      </c>
      <c r="B86" t="str">
        <f t="shared" si="3"/>
        <v>10:50</v>
      </c>
      <c r="C86" s="17" t="s">
        <v>358</v>
      </c>
      <c r="D86" s="17" t="s">
        <v>324</v>
      </c>
      <c r="E86" s="22"/>
      <c r="F86" s="22" t="s">
        <v>629</v>
      </c>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row>
    <row r="87" spans="1:65">
      <c r="A87" t="str">
        <f t="shared" ca="1" si="2"/>
        <v>05:20</v>
      </c>
      <c r="B87" t="str">
        <f t="shared" si="3"/>
        <v>10:55</v>
      </c>
      <c r="C87" s="17" t="s">
        <v>359</v>
      </c>
      <c r="D87" s="17" t="s">
        <v>324</v>
      </c>
      <c r="E87" s="22"/>
      <c r="F87" s="22" t="s">
        <v>629</v>
      </c>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row>
    <row r="88" spans="1:65">
      <c r="A88" t="str">
        <f t="shared" ca="1" si="2"/>
        <v>05:20</v>
      </c>
      <c r="B88" t="str">
        <f t="shared" si="3"/>
        <v>11:00</v>
      </c>
      <c r="C88" s="17" t="s">
        <v>360</v>
      </c>
      <c r="D88" s="17" t="s">
        <v>324</v>
      </c>
      <c r="E88" s="22"/>
      <c r="F88" s="22" t="s">
        <v>629</v>
      </c>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row>
    <row r="89" spans="1:65">
      <c r="A89" t="str">
        <f t="shared" ca="1" si="2"/>
        <v>05:20</v>
      </c>
      <c r="B89" t="str">
        <f t="shared" si="3"/>
        <v>11:05</v>
      </c>
      <c r="C89" s="17" t="s">
        <v>361</v>
      </c>
      <c r="D89" s="17" t="s">
        <v>324</v>
      </c>
      <c r="E89" s="22"/>
      <c r="F89" s="22" t="s">
        <v>629</v>
      </c>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row>
    <row r="90" spans="1:65">
      <c r="A90" t="str">
        <f t="shared" ca="1" si="2"/>
        <v>05:20</v>
      </c>
      <c r="B90" t="str">
        <f t="shared" si="3"/>
        <v>11:10</v>
      </c>
      <c r="C90" s="17" t="s">
        <v>362</v>
      </c>
      <c r="D90" s="17" t="s">
        <v>324</v>
      </c>
      <c r="E90" s="22"/>
      <c r="F90" s="22" t="s">
        <v>629</v>
      </c>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row>
    <row r="91" spans="1:65">
      <c r="A91" t="str">
        <f t="shared" ca="1" si="2"/>
        <v>05:20</v>
      </c>
      <c r="B91" t="str">
        <f t="shared" si="3"/>
        <v>11:15</v>
      </c>
      <c r="C91" s="17" t="s">
        <v>363</v>
      </c>
      <c r="D91" s="17" t="s">
        <v>324</v>
      </c>
      <c r="E91" s="22"/>
      <c r="F91" s="22" t="s">
        <v>629</v>
      </c>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row>
    <row r="92" spans="1:65">
      <c r="A92" t="str">
        <f t="shared" ca="1" si="2"/>
        <v>05:20</v>
      </c>
      <c r="B92" t="str">
        <f t="shared" si="3"/>
        <v>11:20</v>
      </c>
      <c r="C92" s="17" t="s">
        <v>364</v>
      </c>
      <c r="D92" s="17" t="s">
        <v>324</v>
      </c>
      <c r="E92" s="22"/>
      <c r="F92" s="22" t="s">
        <v>629</v>
      </c>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row>
    <row r="93" spans="1:65">
      <c r="A93" t="str">
        <f t="shared" ca="1" si="2"/>
        <v>05:20</v>
      </c>
      <c r="B93" t="str">
        <f t="shared" si="3"/>
        <v>11:25</v>
      </c>
      <c r="C93" s="17" t="s">
        <v>365</v>
      </c>
      <c r="D93" s="17" t="s">
        <v>324</v>
      </c>
      <c r="E93" s="22"/>
      <c r="F93" s="22" t="s">
        <v>629</v>
      </c>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row>
    <row r="94" spans="1:65">
      <c r="A94" t="str">
        <f t="shared" ca="1" si="2"/>
        <v>05:20</v>
      </c>
      <c r="B94" t="str">
        <f t="shared" si="3"/>
        <v>11:30</v>
      </c>
      <c r="C94" s="17" t="s">
        <v>366</v>
      </c>
      <c r="D94" s="17" t="s">
        <v>324</v>
      </c>
      <c r="E94" s="22"/>
      <c r="F94" s="22" t="s">
        <v>629</v>
      </c>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row>
    <row r="95" spans="1:65">
      <c r="A95" t="str">
        <f t="shared" ca="1" si="2"/>
        <v>05:20</v>
      </c>
      <c r="B95" t="str">
        <f t="shared" si="3"/>
        <v>11:35</v>
      </c>
      <c r="C95" s="17" t="s">
        <v>367</v>
      </c>
      <c r="D95" s="17" t="s">
        <v>324</v>
      </c>
      <c r="E95" s="22"/>
      <c r="F95" s="22" t="s">
        <v>629</v>
      </c>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row>
    <row r="96" spans="1:65">
      <c r="A96" t="str">
        <f t="shared" ca="1" si="2"/>
        <v>05:20</v>
      </c>
      <c r="B96" t="str">
        <f t="shared" si="3"/>
        <v>11:40</v>
      </c>
      <c r="C96" s="17" t="s">
        <v>368</v>
      </c>
      <c r="D96" s="17" t="s">
        <v>324</v>
      </c>
      <c r="E96" s="22"/>
      <c r="F96" s="22" t="s">
        <v>629</v>
      </c>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row>
    <row r="97" spans="1:65">
      <c r="A97" t="str">
        <f t="shared" ca="1" si="2"/>
        <v>05:20</v>
      </c>
      <c r="B97" t="str">
        <f t="shared" si="3"/>
        <v>11:45</v>
      </c>
      <c r="C97" s="17" t="s">
        <v>369</v>
      </c>
      <c r="D97" s="17" t="s">
        <v>324</v>
      </c>
      <c r="E97" s="22"/>
      <c r="F97" s="22" t="s">
        <v>629</v>
      </c>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row>
    <row r="98" spans="1:65">
      <c r="A98" t="str">
        <f t="shared" ca="1" si="2"/>
        <v>05:20</v>
      </c>
      <c r="B98" t="str">
        <f t="shared" si="3"/>
        <v>11:50</v>
      </c>
      <c r="C98" s="17" t="s">
        <v>370</v>
      </c>
      <c r="D98" s="17" t="s">
        <v>324</v>
      </c>
      <c r="E98" s="22"/>
      <c r="F98" s="22" t="s">
        <v>629</v>
      </c>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row>
    <row r="99" spans="1:65">
      <c r="A99" t="str">
        <f t="shared" ca="1" si="2"/>
        <v>05:20</v>
      </c>
      <c r="B99" t="str">
        <f t="shared" si="3"/>
        <v>11:55</v>
      </c>
      <c r="C99" s="17" t="s">
        <v>371</v>
      </c>
      <c r="D99" s="17" t="s">
        <v>324</v>
      </c>
      <c r="E99" s="22"/>
      <c r="F99" s="22" t="s">
        <v>629</v>
      </c>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row>
    <row r="100" spans="1:65">
      <c r="A100" t="str">
        <f t="shared" ca="1" si="2"/>
        <v>05:20</v>
      </c>
      <c r="B100" t="str">
        <f t="shared" si="3"/>
        <v>12:00</v>
      </c>
      <c r="C100" s="17" t="s">
        <v>372</v>
      </c>
      <c r="D100" s="17" t="s">
        <v>373</v>
      </c>
      <c r="E100" s="22"/>
      <c r="F100" s="22" t="s">
        <v>630</v>
      </c>
      <c r="G100" s="22"/>
      <c r="H100" s="22" t="s">
        <v>373</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row>
    <row r="101" spans="1:65">
      <c r="A101" t="str">
        <f t="shared" ca="1" si="2"/>
        <v>05:20</v>
      </c>
      <c r="B101" t="str">
        <f t="shared" si="3"/>
        <v>12:05</v>
      </c>
      <c r="C101" s="17" t="s">
        <v>374</v>
      </c>
      <c r="D101" s="17" t="s">
        <v>373</v>
      </c>
      <c r="E101" s="22"/>
      <c r="F101" s="22" t="s">
        <v>630</v>
      </c>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row>
    <row r="102" spans="1:65">
      <c r="A102" t="str">
        <f t="shared" ca="1" si="2"/>
        <v>05:20</v>
      </c>
      <c r="B102" t="str">
        <f t="shared" si="3"/>
        <v>12:10</v>
      </c>
      <c r="C102" s="17" t="s">
        <v>375</v>
      </c>
      <c r="D102" s="17" t="s">
        <v>373</v>
      </c>
      <c r="E102" s="22"/>
      <c r="F102" s="22" t="s">
        <v>630</v>
      </c>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row>
    <row r="103" spans="1:65">
      <c r="A103" t="str">
        <f t="shared" ca="1" si="2"/>
        <v>05:20</v>
      </c>
      <c r="B103" t="str">
        <f t="shared" si="3"/>
        <v>12:15</v>
      </c>
      <c r="C103" s="17" t="s">
        <v>376</v>
      </c>
      <c r="D103" s="17" t="s">
        <v>373</v>
      </c>
      <c r="E103" s="22"/>
      <c r="F103" s="22" t="s">
        <v>630</v>
      </c>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row>
    <row r="104" spans="1:65">
      <c r="A104" t="str">
        <f t="shared" ca="1" si="2"/>
        <v>05:20</v>
      </c>
      <c r="B104" t="str">
        <f t="shared" si="3"/>
        <v>12:20</v>
      </c>
      <c r="C104" s="17" t="s">
        <v>377</v>
      </c>
      <c r="D104" s="17" t="s">
        <v>373</v>
      </c>
      <c r="E104" s="22"/>
      <c r="F104" s="22" t="s">
        <v>630</v>
      </c>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row>
    <row r="105" spans="1:65">
      <c r="A105" t="str">
        <f t="shared" ca="1" si="2"/>
        <v>05:20</v>
      </c>
      <c r="B105" t="str">
        <f t="shared" si="3"/>
        <v>12:25</v>
      </c>
      <c r="C105" s="17" t="s">
        <v>378</v>
      </c>
      <c r="D105" s="17" t="s">
        <v>373</v>
      </c>
      <c r="E105" s="22"/>
      <c r="F105" s="22" t="s">
        <v>630</v>
      </c>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row>
    <row r="106" spans="1:65">
      <c r="A106" t="str">
        <f t="shared" ca="1" si="2"/>
        <v>05:20</v>
      </c>
      <c r="B106" t="str">
        <f t="shared" si="3"/>
        <v>12:30</v>
      </c>
      <c r="C106" s="17" t="s">
        <v>379</v>
      </c>
      <c r="D106" s="17" t="s">
        <v>324</v>
      </c>
      <c r="E106" s="22"/>
      <c r="F106" s="22" t="s">
        <v>629</v>
      </c>
      <c r="G106" s="22"/>
      <c r="H106" s="22" t="s">
        <v>661</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row>
    <row r="107" spans="1:65">
      <c r="A107" t="str">
        <f t="shared" ca="1" si="2"/>
        <v>05:20</v>
      </c>
      <c r="B107" t="str">
        <f t="shared" si="3"/>
        <v>12:35</v>
      </c>
      <c r="C107" s="17" t="s">
        <v>380</v>
      </c>
      <c r="D107" s="17" t="s">
        <v>324</v>
      </c>
      <c r="E107" s="22"/>
      <c r="F107" s="22" t="s">
        <v>629</v>
      </c>
      <c r="G107" s="22"/>
      <c r="H107" s="22" t="s">
        <v>662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row>
    <row r="108" spans="1:65">
      <c r="A108" t="str">
        <f t="shared" ca="1" si="2"/>
        <v>05:20</v>
      </c>
      <c r="B108" t="str">
        <f t="shared" si="3"/>
        <v>12:40</v>
      </c>
      <c r="C108" s="17" t="s">
        <v>381</v>
      </c>
      <c r="D108" s="17" t="s">
        <v>324</v>
      </c>
      <c r="E108" s="22"/>
      <c r="F108" s="22" t="s">
        <v>629</v>
      </c>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row>
    <row r="109" spans="1:65">
      <c r="A109" t="str">
        <f t="shared" ca="1" si="2"/>
        <v>05:20</v>
      </c>
      <c r="B109" t="str">
        <f t="shared" si="3"/>
        <v>12:45</v>
      </c>
      <c r="C109" s="17" t="s">
        <v>382</v>
      </c>
      <c r="D109" s="17" t="s">
        <v>324</v>
      </c>
      <c r="E109" s="22"/>
      <c r="F109" s="22" t="s">
        <v>629</v>
      </c>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row>
    <row r="110" spans="1:65">
      <c r="A110" t="str">
        <f t="shared" ca="1" si="2"/>
        <v>05:20</v>
      </c>
      <c r="B110" t="str">
        <f t="shared" si="3"/>
        <v>12:50</v>
      </c>
      <c r="C110" s="17" t="s">
        <v>383</v>
      </c>
      <c r="D110" s="17" t="s">
        <v>324</v>
      </c>
      <c r="E110" s="22"/>
      <c r="F110" s="22" t="s">
        <v>629</v>
      </c>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row>
    <row r="111" spans="1:65">
      <c r="A111" t="str">
        <f t="shared" ca="1" si="2"/>
        <v>05:20</v>
      </c>
      <c r="B111" t="str">
        <f t="shared" si="3"/>
        <v>12:55</v>
      </c>
      <c r="C111" s="17" t="s">
        <v>384</v>
      </c>
      <c r="D111" s="17" t="s">
        <v>324</v>
      </c>
      <c r="E111" s="22"/>
      <c r="F111" s="22" t="s">
        <v>629</v>
      </c>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row>
    <row r="112" spans="1:65">
      <c r="A112" t="str">
        <f t="shared" ca="1" si="2"/>
        <v>05:20</v>
      </c>
      <c r="B112" t="str">
        <f t="shared" si="3"/>
        <v>13:00</v>
      </c>
      <c r="C112" s="17" t="s">
        <v>385</v>
      </c>
      <c r="D112" s="17" t="s">
        <v>324</v>
      </c>
      <c r="E112" s="22"/>
      <c r="F112" s="22" t="s">
        <v>629</v>
      </c>
      <c r="G112" s="22"/>
      <c r="H112" s="22" t="s">
        <v>663</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row>
    <row r="113" spans="1:65">
      <c r="A113" t="str">
        <f t="shared" ca="1" si="2"/>
        <v>05:20</v>
      </c>
      <c r="B113" t="str">
        <f t="shared" si="3"/>
        <v>13:05</v>
      </c>
      <c r="C113" s="17" t="s">
        <v>386</v>
      </c>
      <c r="D113" s="17" t="s">
        <v>324</v>
      </c>
      <c r="E113" s="22"/>
      <c r="F113" s="22" t="s">
        <v>629</v>
      </c>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row>
    <row r="114" spans="1:65">
      <c r="A114" t="str">
        <f t="shared" ca="1" si="2"/>
        <v>05:20</v>
      </c>
      <c r="B114" t="str">
        <f t="shared" si="3"/>
        <v>13:10</v>
      </c>
      <c r="C114" s="17" t="s">
        <v>387</v>
      </c>
      <c r="D114" s="17" t="s">
        <v>324</v>
      </c>
      <c r="E114" s="22"/>
      <c r="F114" s="22" t="s">
        <v>629</v>
      </c>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row>
    <row r="115" spans="1:65">
      <c r="A115" t="str">
        <f t="shared" ca="1" si="2"/>
        <v>05:20</v>
      </c>
      <c r="B115" t="str">
        <f t="shared" si="3"/>
        <v>13:15</v>
      </c>
      <c r="C115" s="17" t="s">
        <v>388</v>
      </c>
      <c r="D115" s="17" t="s">
        <v>324</v>
      </c>
      <c r="E115" s="22"/>
      <c r="F115" s="22" t="s">
        <v>629</v>
      </c>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row>
    <row r="116" spans="1:65">
      <c r="A116" t="str">
        <f t="shared" ca="1" si="2"/>
        <v>05:20</v>
      </c>
      <c r="B116" t="str">
        <f t="shared" si="3"/>
        <v>13:20</v>
      </c>
      <c r="C116" s="17" t="s">
        <v>389</v>
      </c>
      <c r="D116" s="17" t="s">
        <v>324</v>
      </c>
      <c r="E116" s="22"/>
      <c r="F116" s="22" t="s">
        <v>629</v>
      </c>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row>
    <row r="117" spans="1:65">
      <c r="A117" t="str">
        <f t="shared" ca="1" si="2"/>
        <v>05:20</v>
      </c>
      <c r="B117" t="str">
        <f t="shared" si="3"/>
        <v>13:25</v>
      </c>
      <c r="C117" s="17" t="s">
        <v>390</v>
      </c>
      <c r="D117" s="17" t="s">
        <v>324</v>
      </c>
      <c r="E117" s="22"/>
      <c r="F117" s="22" t="s">
        <v>629</v>
      </c>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row>
    <row r="118" spans="1:65">
      <c r="A118" t="str">
        <f t="shared" ca="1" si="2"/>
        <v>05:20</v>
      </c>
      <c r="B118" t="str">
        <f t="shared" si="3"/>
        <v>13:30</v>
      </c>
      <c r="C118" s="17" t="s">
        <v>391</v>
      </c>
      <c r="D118" s="17" t="s">
        <v>324</v>
      </c>
      <c r="E118" s="22"/>
      <c r="F118" s="22" t="s">
        <v>629</v>
      </c>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row>
    <row r="119" spans="1:65">
      <c r="A119" t="str">
        <f t="shared" ca="1" si="2"/>
        <v>05:20</v>
      </c>
      <c r="B119" t="str">
        <f t="shared" si="3"/>
        <v>13:35</v>
      </c>
      <c r="C119" s="17" t="s">
        <v>392</v>
      </c>
      <c r="D119" s="17" t="s">
        <v>324</v>
      </c>
      <c r="E119" s="22"/>
      <c r="F119" s="22" t="s">
        <v>629</v>
      </c>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row>
    <row r="120" spans="1:65">
      <c r="A120" t="str">
        <f t="shared" ca="1" si="2"/>
        <v>05:20</v>
      </c>
      <c r="B120" t="str">
        <f t="shared" si="3"/>
        <v>13:40</v>
      </c>
      <c r="C120" s="17" t="s">
        <v>393</v>
      </c>
      <c r="D120" s="17" t="s">
        <v>324</v>
      </c>
      <c r="E120" s="22"/>
      <c r="F120" s="22" t="s">
        <v>629</v>
      </c>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row>
    <row r="121" spans="1:65">
      <c r="A121" t="str">
        <f t="shared" ca="1" si="2"/>
        <v>05:20</v>
      </c>
      <c r="B121" t="str">
        <f t="shared" si="3"/>
        <v>13:45</v>
      </c>
      <c r="C121" s="17" t="s">
        <v>394</v>
      </c>
      <c r="D121" s="17" t="s">
        <v>324</v>
      </c>
      <c r="E121" s="22"/>
      <c r="F121" s="22" t="s">
        <v>629</v>
      </c>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row>
    <row r="122" spans="1:65">
      <c r="A122" t="str">
        <f t="shared" ca="1" si="2"/>
        <v>05:20</v>
      </c>
      <c r="B122" t="str">
        <f t="shared" si="3"/>
        <v>13:50</v>
      </c>
      <c r="C122" s="17" t="s">
        <v>395</v>
      </c>
      <c r="D122" s="17" t="s">
        <v>324</v>
      </c>
      <c r="E122" s="22"/>
      <c r="F122" s="22" t="s">
        <v>629</v>
      </c>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row>
    <row r="123" spans="1:65">
      <c r="A123" t="str">
        <f t="shared" ca="1" si="2"/>
        <v>05:20</v>
      </c>
      <c r="B123" t="str">
        <f t="shared" si="3"/>
        <v>13:55</v>
      </c>
      <c r="C123" s="17" t="s">
        <v>396</v>
      </c>
      <c r="D123" s="17" t="s">
        <v>324</v>
      </c>
      <c r="E123" s="22"/>
      <c r="F123" s="22" t="s">
        <v>629</v>
      </c>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row>
    <row r="124" spans="1:65">
      <c r="A124" t="str">
        <f t="shared" ca="1" si="2"/>
        <v>05:20</v>
      </c>
      <c r="B124" t="str">
        <f t="shared" si="3"/>
        <v>14:00</v>
      </c>
      <c r="C124" s="17" t="s">
        <v>397</v>
      </c>
      <c r="D124" s="17" t="s">
        <v>324</v>
      </c>
      <c r="E124" s="22"/>
      <c r="F124" s="22" t="s">
        <v>629</v>
      </c>
      <c r="G124" s="22"/>
      <c r="H124" s="22" t="s">
        <v>664</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row>
    <row r="125" spans="1:65">
      <c r="A125" t="str">
        <f t="shared" ca="1" si="2"/>
        <v>05:20</v>
      </c>
      <c r="B125" t="str">
        <f t="shared" si="3"/>
        <v>14:05</v>
      </c>
      <c r="C125" s="17" t="s">
        <v>398</v>
      </c>
      <c r="D125" s="17" t="s">
        <v>324</v>
      </c>
      <c r="E125" s="22"/>
      <c r="F125" s="22" t="s">
        <v>629</v>
      </c>
      <c r="G125" s="22"/>
      <c r="H125" s="22" t="s">
        <v>665</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row>
    <row r="126" spans="1:65">
      <c r="A126" t="str">
        <f t="shared" ca="1" si="2"/>
        <v>05:20</v>
      </c>
      <c r="B126" t="str">
        <f t="shared" si="3"/>
        <v>14:10</v>
      </c>
      <c r="C126" s="17" t="s">
        <v>399</v>
      </c>
      <c r="D126" s="17" t="s">
        <v>324</v>
      </c>
      <c r="E126" s="22"/>
      <c r="F126" s="22" t="s">
        <v>629</v>
      </c>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row>
    <row r="127" spans="1:65">
      <c r="A127" t="str">
        <f t="shared" ca="1" si="2"/>
        <v>05:20</v>
      </c>
      <c r="B127" t="str">
        <f t="shared" si="3"/>
        <v>14:15</v>
      </c>
      <c r="C127" s="17" t="s">
        <v>400</v>
      </c>
      <c r="D127" s="17" t="s">
        <v>324</v>
      </c>
      <c r="E127" s="22"/>
      <c r="F127" s="22" t="s">
        <v>629</v>
      </c>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row>
    <row r="128" spans="1:65">
      <c r="A128" t="str">
        <f t="shared" ca="1" si="2"/>
        <v>05:20</v>
      </c>
      <c r="B128" t="str">
        <f t="shared" si="3"/>
        <v>14:20</v>
      </c>
      <c r="C128" s="17" t="s">
        <v>401</v>
      </c>
      <c r="D128" s="17" t="s">
        <v>324</v>
      </c>
      <c r="E128" s="22"/>
      <c r="F128" s="22" t="s">
        <v>629</v>
      </c>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row>
    <row r="129" spans="1:65">
      <c r="A129" t="str">
        <f t="shared" ca="1" si="2"/>
        <v>05:20</v>
      </c>
      <c r="B129" t="str">
        <f t="shared" si="3"/>
        <v>14:25</v>
      </c>
      <c r="C129" s="17" t="s">
        <v>402</v>
      </c>
      <c r="D129" s="17" t="s">
        <v>324</v>
      </c>
      <c r="E129" s="22"/>
      <c r="F129" s="22" t="s">
        <v>629</v>
      </c>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row>
    <row r="130" spans="1:65">
      <c r="A130" t="str">
        <f t="shared" ca="1" si="2"/>
        <v>05:20</v>
      </c>
      <c r="B130" t="str">
        <f t="shared" si="3"/>
        <v>14:30</v>
      </c>
      <c r="C130" s="17" t="s">
        <v>403</v>
      </c>
      <c r="D130" s="17" t="s">
        <v>324</v>
      </c>
      <c r="E130" s="22"/>
      <c r="F130" s="22" t="s">
        <v>629</v>
      </c>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row>
    <row r="131" spans="1:65">
      <c r="A131" t="str">
        <f t="shared" ca="1" si="2"/>
        <v>05:20</v>
      </c>
      <c r="B131" t="str">
        <f t="shared" si="3"/>
        <v>14:35</v>
      </c>
      <c r="C131" s="17" t="s">
        <v>404</v>
      </c>
      <c r="D131" s="17" t="s">
        <v>324</v>
      </c>
      <c r="E131" s="22"/>
      <c r="F131" s="22" t="s">
        <v>629</v>
      </c>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row>
    <row r="132" spans="1:65">
      <c r="A132" t="str">
        <f t="shared" ref="A132:A168" ca="1" si="4">TEXT(
  FLOOR( MOD(NOW(),1), TIME(0,5,0) ),
  "HH:mm"
)</f>
        <v>05:20</v>
      </c>
      <c r="B132" t="str">
        <f t="shared" ref="B132:B168" si="5">TEXT($C132, "HH:mm")</f>
        <v>14:40</v>
      </c>
      <c r="C132" s="17" t="s">
        <v>405</v>
      </c>
      <c r="D132" s="17" t="s">
        <v>324</v>
      </c>
      <c r="E132" s="22"/>
      <c r="F132" s="22" t="s">
        <v>629</v>
      </c>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row>
    <row r="133" spans="1:65">
      <c r="A133" t="str">
        <f t="shared" ca="1" si="4"/>
        <v>05:20</v>
      </c>
      <c r="B133" t="str">
        <f t="shared" si="5"/>
        <v>14:45</v>
      </c>
      <c r="C133" s="17" t="s">
        <v>406</v>
      </c>
      <c r="D133" s="17" t="s">
        <v>324</v>
      </c>
      <c r="E133" s="22"/>
      <c r="F133" s="22" t="s">
        <v>629</v>
      </c>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row>
    <row r="134" spans="1:65">
      <c r="A134" t="str">
        <f t="shared" ca="1" si="4"/>
        <v>05:20</v>
      </c>
      <c r="B134" t="str">
        <f t="shared" si="5"/>
        <v>14:50</v>
      </c>
      <c r="C134" s="17" t="s">
        <v>407</v>
      </c>
      <c r="D134" s="17" t="s">
        <v>324</v>
      </c>
      <c r="E134" s="22"/>
      <c r="F134" s="22" t="s">
        <v>629</v>
      </c>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row>
    <row r="135" spans="1:65">
      <c r="A135" t="str">
        <f t="shared" ca="1" si="4"/>
        <v>05:20</v>
      </c>
      <c r="B135" t="str">
        <f t="shared" si="5"/>
        <v>14:55</v>
      </c>
      <c r="C135" s="17" t="s">
        <v>408</v>
      </c>
      <c r="D135" s="17" t="s">
        <v>324</v>
      </c>
      <c r="E135" s="22"/>
      <c r="F135" s="22" t="s">
        <v>629</v>
      </c>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row>
    <row r="136" spans="1:65">
      <c r="A136" t="str">
        <f t="shared" ca="1" si="4"/>
        <v>05:20</v>
      </c>
      <c r="B136" t="str">
        <f t="shared" si="5"/>
        <v>15:00</v>
      </c>
      <c r="C136" s="17" t="s">
        <v>409</v>
      </c>
      <c r="D136" s="17" t="s">
        <v>324</v>
      </c>
      <c r="E136" s="22"/>
      <c r="F136" s="22" t="s">
        <v>629</v>
      </c>
      <c r="G136" s="22"/>
      <c r="H136" s="22" t="s">
        <v>656</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row>
    <row r="137" spans="1:65">
      <c r="A137" t="str">
        <f t="shared" ca="1" si="4"/>
        <v>05:20</v>
      </c>
      <c r="B137" t="str">
        <f t="shared" si="5"/>
        <v>15:05</v>
      </c>
      <c r="C137" s="17" t="s">
        <v>410</v>
      </c>
      <c r="D137" s="17" t="s">
        <v>324</v>
      </c>
      <c r="E137" s="22"/>
      <c r="F137" s="22" t="s">
        <v>629</v>
      </c>
      <c r="G137" s="22"/>
      <c r="H137" s="22" t="s">
        <v>666</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row>
    <row r="138" spans="1:65">
      <c r="A138" t="str">
        <f t="shared" ca="1" si="4"/>
        <v>05:20</v>
      </c>
      <c r="B138" t="str">
        <f t="shared" si="5"/>
        <v>15:10</v>
      </c>
      <c r="C138" s="17" t="s">
        <v>411</v>
      </c>
      <c r="D138" s="17" t="s">
        <v>324</v>
      </c>
      <c r="E138" s="22"/>
      <c r="F138" s="22" t="s">
        <v>629</v>
      </c>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row>
    <row r="139" spans="1:65">
      <c r="A139" t="str">
        <f t="shared" ca="1" si="4"/>
        <v>05:20</v>
      </c>
      <c r="B139" t="str">
        <f t="shared" si="5"/>
        <v>15:15</v>
      </c>
      <c r="C139" s="17" t="s">
        <v>412</v>
      </c>
      <c r="D139" s="17" t="s">
        <v>324</v>
      </c>
      <c r="E139" s="22"/>
      <c r="F139" s="22" t="s">
        <v>629</v>
      </c>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row>
    <row r="140" spans="1:65">
      <c r="A140" t="str">
        <f t="shared" ca="1" si="4"/>
        <v>05:20</v>
      </c>
      <c r="B140" t="str">
        <f t="shared" si="5"/>
        <v>15:20</v>
      </c>
      <c r="C140" s="17" t="s">
        <v>413</v>
      </c>
      <c r="D140" s="17" t="s">
        <v>324</v>
      </c>
      <c r="E140" s="22"/>
      <c r="F140" s="22" t="s">
        <v>629</v>
      </c>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row>
    <row r="141" spans="1:65">
      <c r="A141" t="str">
        <f t="shared" ca="1" si="4"/>
        <v>05:20</v>
      </c>
      <c r="B141" t="str">
        <f t="shared" si="5"/>
        <v>15:25</v>
      </c>
      <c r="C141" s="17" t="s">
        <v>414</v>
      </c>
      <c r="D141" s="17" t="s">
        <v>324</v>
      </c>
      <c r="E141" s="22"/>
      <c r="F141" s="22" t="s">
        <v>629</v>
      </c>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row>
    <row r="142" spans="1:65">
      <c r="A142" t="str">
        <f t="shared" ca="1" si="4"/>
        <v>05:20</v>
      </c>
      <c r="B142" t="str">
        <f t="shared" si="5"/>
        <v>15:30</v>
      </c>
      <c r="C142" s="17" t="s">
        <v>415</v>
      </c>
      <c r="D142" s="17" t="s">
        <v>324</v>
      </c>
      <c r="E142" s="22"/>
      <c r="F142" s="22" t="s">
        <v>629</v>
      </c>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row>
    <row r="143" spans="1:65">
      <c r="A143" t="str">
        <f t="shared" ca="1" si="4"/>
        <v>05:20</v>
      </c>
      <c r="B143" t="str">
        <f t="shared" si="5"/>
        <v>15:35</v>
      </c>
      <c r="C143" s="17" t="s">
        <v>416</v>
      </c>
      <c r="D143" s="17" t="s">
        <v>324</v>
      </c>
      <c r="E143" s="22"/>
      <c r="F143" s="22" t="s">
        <v>629</v>
      </c>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row>
    <row r="144" spans="1:65">
      <c r="A144" t="str">
        <f t="shared" ca="1" si="4"/>
        <v>05:20</v>
      </c>
      <c r="B144" t="str">
        <f t="shared" si="5"/>
        <v>15:40</v>
      </c>
      <c r="C144" s="17" t="s">
        <v>417</v>
      </c>
      <c r="D144" s="17" t="s">
        <v>324</v>
      </c>
      <c r="E144" s="22"/>
      <c r="F144" s="22" t="s">
        <v>629</v>
      </c>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row>
    <row r="145" spans="1:65">
      <c r="A145" t="str">
        <f t="shared" ca="1" si="4"/>
        <v>05:20</v>
      </c>
      <c r="B145" t="str">
        <f t="shared" si="5"/>
        <v>15:45</v>
      </c>
      <c r="C145" s="17" t="s">
        <v>418</v>
      </c>
      <c r="D145" s="17" t="s">
        <v>324</v>
      </c>
      <c r="E145" s="22"/>
      <c r="F145" s="22" t="s">
        <v>629</v>
      </c>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row>
    <row r="146" spans="1:65">
      <c r="A146" t="str">
        <f t="shared" ca="1" si="4"/>
        <v>05:20</v>
      </c>
      <c r="B146" t="str">
        <f t="shared" si="5"/>
        <v>15:50</v>
      </c>
      <c r="C146" s="17" t="s">
        <v>419</v>
      </c>
      <c r="D146" s="17" t="s">
        <v>324</v>
      </c>
      <c r="E146" s="22"/>
      <c r="F146" s="22" t="s">
        <v>629</v>
      </c>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row>
    <row r="147" spans="1:65">
      <c r="A147" t="str">
        <f t="shared" ca="1" si="4"/>
        <v>05:20</v>
      </c>
      <c r="B147" t="str">
        <f t="shared" si="5"/>
        <v>15:55</v>
      </c>
      <c r="C147" s="17" t="s">
        <v>420</v>
      </c>
      <c r="D147" s="17" t="s">
        <v>324</v>
      </c>
      <c r="E147" s="22"/>
      <c r="F147" s="22" t="s">
        <v>629</v>
      </c>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row>
    <row r="148" spans="1:65">
      <c r="A148" t="str">
        <f t="shared" ca="1" si="4"/>
        <v>05:20</v>
      </c>
      <c r="B148" t="str">
        <f t="shared" si="5"/>
        <v>16:00</v>
      </c>
      <c r="C148" s="17" t="s">
        <v>421</v>
      </c>
      <c r="D148" s="17" t="s">
        <v>324</v>
      </c>
      <c r="E148" s="22"/>
      <c r="F148" s="22" t="s">
        <v>629</v>
      </c>
      <c r="G148" s="22"/>
      <c r="H148" s="22" t="s">
        <v>667</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row>
    <row r="149" spans="1:65">
      <c r="A149" t="str">
        <f t="shared" ca="1" si="4"/>
        <v>05:20</v>
      </c>
      <c r="B149" t="str">
        <f t="shared" si="5"/>
        <v>16:05</v>
      </c>
      <c r="C149" s="17" t="s">
        <v>422</v>
      </c>
      <c r="D149" s="17" t="s">
        <v>324</v>
      </c>
      <c r="E149" s="22"/>
      <c r="F149" s="22" t="s">
        <v>629</v>
      </c>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row>
    <row r="150" spans="1:65">
      <c r="A150" t="str">
        <f t="shared" ca="1" si="4"/>
        <v>05:20</v>
      </c>
      <c r="B150" t="str">
        <f t="shared" si="5"/>
        <v>16:10</v>
      </c>
      <c r="C150" s="17" t="s">
        <v>423</v>
      </c>
      <c r="D150" s="17" t="s">
        <v>324</v>
      </c>
      <c r="E150" s="22"/>
      <c r="F150" s="22" t="s">
        <v>629</v>
      </c>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row>
    <row r="151" spans="1:65">
      <c r="A151" t="str">
        <f t="shared" ca="1" si="4"/>
        <v>05:20</v>
      </c>
      <c r="B151" t="str">
        <f t="shared" si="5"/>
        <v>16:15</v>
      </c>
      <c r="C151" s="17" t="s">
        <v>424</v>
      </c>
      <c r="D151" s="17" t="s">
        <v>324</v>
      </c>
      <c r="E151" s="22"/>
      <c r="F151" s="22" t="s">
        <v>629</v>
      </c>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row>
    <row r="152" spans="1:65">
      <c r="A152" t="str">
        <f t="shared" ca="1" si="4"/>
        <v>05:20</v>
      </c>
      <c r="B152" t="str">
        <f t="shared" si="5"/>
        <v>16:20</v>
      </c>
      <c r="C152" s="17" t="s">
        <v>425</v>
      </c>
      <c r="D152" s="17" t="s">
        <v>324</v>
      </c>
      <c r="E152" s="22"/>
      <c r="F152" s="22" t="s">
        <v>629</v>
      </c>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row>
    <row r="153" spans="1:65">
      <c r="A153" t="str">
        <f t="shared" ca="1" si="4"/>
        <v>05:20</v>
      </c>
      <c r="B153" t="str">
        <f t="shared" si="5"/>
        <v>16:25</v>
      </c>
      <c r="C153" s="17" t="s">
        <v>426</v>
      </c>
      <c r="D153" s="17" t="s">
        <v>324</v>
      </c>
      <c r="E153" s="22"/>
      <c r="F153" s="22" t="s">
        <v>629</v>
      </c>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row>
    <row r="154" spans="1:65">
      <c r="A154" t="str">
        <f t="shared" ca="1" si="4"/>
        <v>05:20</v>
      </c>
      <c r="B154" t="str">
        <f t="shared" si="5"/>
        <v>16:30</v>
      </c>
      <c r="C154" s="17" t="s">
        <v>427</v>
      </c>
      <c r="D154" s="17" t="s">
        <v>324</v>
      </c>
      <c r="E154" s="22"/>
      <c r="F154" s="22" t="s">
        <v>629</v>
      </c>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row>
    <row r="155" spans="1:65">
      <c r="A155" t="str">
        <f t="shared" ca="1" si="4"/>
        <v>05:20</v>
      </c>
      <c r="B155" t="str">
        <f t="shared" si="5"/>
        <v>16:35</v>
      </c>
      <c r="C155" s="17" t="s">
        <v>428</v>
      </c>
      <c r="D155" s="17" t="s">
        <v>324</v>
      </c>
      <c r="E155" s="22"/>
      <c r="F155" s="22" t="s">
        <v>629</v>
      </c>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row>
    <row r="156" spans="1:65">
      <c r="A156" t="str">
        <f t="shared" ca="1" si="4"/>
        <v>05:20</v>
      </c>
      <c r="B156" t="str">
        <f t="shared" si="5"/>
        <v>16:40</v>
      </c>
      <c r="C156" s="17" t="s">
        <v>429</v>
      </c>
      <c r="D156" s="17" t="s">
        <v>324</v>
      </c>
      <c r="E156" s="22"/>
      <c r="F156" s="22" t="s">
        <v>629</v>
      </c>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row>
    <row r="157" spans="1:65">
      <c r="A157" t="str">
        <f t="shared" ca="1" si="4"/>
        <v>05:20</v>
      </c>
      <c r="B157" t="str">
        <f t="shared" si="5"/>
        <v>16:45</v>
      </c>
      <c r="C157" s="17" t="s">
        <v>430</v>
      </c>
      <c r="D157" s="17" t="s">
        <v>267</v>
      </c>
      <c r="E157" s="22"/>
      <c r="F157" s="22" t="s">
        <v>629</v>
      </c>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row>
    <row r="158" spans="1:65">
      <c r="A158" t="str">
        <f t="shared" ca="1" si="4"/>
        <v>05:20</v>
      </c>
      <c r="B158" t="str">
        <f t="shared" si="5"/>
        <v>16:50</v>
      </c>
      <c r="C158" s="17" t="s">
        <v>431</v>
      </c>
      <c r="D158" s="17" t="s">
        <v>267</v>
      </c>
      <c r="E158" s="22"/>
      <c r="F158" s="22" t="s">
        <v>629</v>
      </c>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row>
    <row r="159" spans="1:65">
      <c r="A159" t="str">
        <f t="shared" ca="1" si="4"/>
        <v>05:20</v>
      </c>
      <c r="B159" t="str">
        <f t="shared" si="5"/>
        <v>16:55</v>
      </c>
      <c r="C159" s="17" t="s">
        <v>432</v>
      </c>
      <c r="D159" s="17" t="s">
        <v>324</v>
      </c>
      <c r="E159" s="22"/>
      <c r="F159" s="22" t="s">
        <v>629</v>
      </c>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row>
    <row r="160" spans="1:65">
      <c r="A160" t="str">
        <f t="shared" ca="1" si="4"/>
        <v>05:20</v>
      </c>
      <c r="B160" t="str">
        <f t="shared" si="5"/>
        <v>17:00</v>
      </c>
      <c r="C160" s="17" t="s">
        <v>433</v>
      </c>
      <c r="D160" s="17" t="s">
        <v>324</v>
      </c>
      <c r="E160" s="22"/>
      <c r="F160" s="22" t="s">
        <v>629</v>
      </c>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row>
    <row r="161" spans="1:65">
      <c r="A161" t="str">
        <f t="shared" ca="1" si="4"/>
        <v>05:20</v>
      </c>
      <c r="B161" t="str">
        <f t="shared" si="5"/>
        <v>17:05</v>
      </c>
      <c r="C161" s="17" t="s">
        <v>434</v>
      </c>
      <c r="D161" s="17" t="s">
        <v>324</v>
      </c>
      <c r="E161" s="22"/>
      <c r="F161" s="22" t="s">
        <v>629</v>
      </c>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row>
    <row r="162" spans="1:65">
      <c r="A162" t="str">
        <f t="shared" ca="1" si="4"/>
        <v>05:20</v>
      </c>
      <c r="B162" t="str">
        <f t="shared" si="5"/>
        <v>17:10</v>
      </c>
      <c r="C162" s="17" t="s">
        <v>435</v>
      </c>
      <c r="D162" s="17" t="s">
        <v>324</v>
      </c>
      <c r="E162" s="22"/>
      <c r="F162" s="22" t="s">
        <v>629</v>
      </c>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row>
    <row r="163" spans="1:65">
      <c r="A163" t="str">
        <f t="shared" ca="1" si="4"/>
        <v>05:20</v>
      </c>
      <c r="B163" t="str">
        <f t="shared" si="5"/>
        <v>17:15</v>
      </c>
      <c r="C163" s="17" t="s">
        <v>436</v>
      </c>
      <c r="D163" s="17" t="s">
        <v>324</v>
      </c>
      <c r="E163" s="22"/>
      <c r="F163" s="22" t="s">
        <v>629</v>
      </c>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row>
    <row r="164" spans="1:65">
      <c r="A164" t="str">
        <f t="shared" ca="1" si="4"/>
        <v>05:20</v>
      </c>
      <c r="B164" t="str">
        <f t="shared" si="5"/>
        <v>17:20</v>
      </c>
      <c r="C164" s="17" t="s">
        <v>437</v>
      </c>
      <c r="D164" s="17" t="s">
        <v>324</v>
      </c>
      <c r="E164" s="22"/>
      <c r="F164" s="22" t="s">
        <v>629</v>
      </c>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row>
    <row r="165" spans="1:65">
      <c r="A165" t="str">
        <f t="shared" ca="1" si="4"/>
        <v>05:20</v>
      </c>
      <c r="B165" t="str">
        <f t="shared" si="5"/>
        <v>17:25</v>
      </c>
      <c r="C165" s="17" t="s">
        <v>438</v>
      </c>
      <c r="D165" s="17" t="s">
        <v>324</v>
      </c>
      <c r="E165" s="22"/>
      <c r="F165" s="22" t="s">
        <v>629</v>
      </c>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row>
    <row r="166" spans="1:65">
      <c r="A166" t="str">
        <f t="shared" ca="1" si="4"/>
        <v>05:20</v>
      </c>
      <c r="B166" t="str">
        <f t="shared" si="5"/>
        <v>17:30</v>
      </c>
      <c r="C166" s="17" t="s">
        <v>439</v>
      </c>
      <c r="D166" s="17" t="s">
        <v>440</v>
      </c>
      <c r="E166" s="22"/>
      <c r="F166" s="22" t="s">
        <v>631</v>
      </c>
      <c r="G166" s="22"/>
      <c r="H166" s="22" t="s">
        <v>440</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row>
    <row r="167" spans="1:65">
      <c r="A167" t="str">
        <f t="shared" ca="1" si="4"/>
        <v>05:20</v>
      </c>
      <c r="B167" t="str">
        <f t="shared" si="5"/>
        <v>17:35</v>
      </c>
      <c r="C167" s="17" t="s">
        <v>441</v>
      </c>
      <c r="D167" s="17" t="s">
        <v>440</v>
      </c>
      <c r="E167" s="22"/>
      <c r="F167" s="22" t="s">
        <v>631</v>
      </c>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row>
    <row r="168" spans="1:65">
      <c r="A168" t="str">
        <f t="shared" ca="1" si="4"/>
        <v>05:20</v>
      </c>
      <c r="B168" t="str">
        <f t="shared" si="5"/>
        <v>17:40</v>
      </c>
      <c r="C168" s="17" t="s">
        <v>442</v>
      </c>
      <c r="D168" s="17" t="s">
        <v>572</v>
      </c>
      <c r="E168" s="22"/>
      <c r="F168" s="22" t="s">
        <v>631</v>
      </c>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row>
    <row r="169" spans="1:65">
      <c r="A169" t="str">
        <f ca="1">TEXT(
  FLOOR( MOD(NOW(),1), TIME(0,5,0) ),
  "HH:mm"
)</f>
        <v>05:20</v>
      </c>
      <c r="B169" t="str">
        <f>TEXT($C169, "HH:mm")</f>
        <v>17:45</v>
      </c>
      <c r="C169" s="20">
        <v>0.73958333333333337</v>
      </c>
      <c r="D169" s="17" t="s">
        <v>440</v>
      </c>
      <c r="E169" s="22"/>
      <c r="F169" s="22" t="s">
        <v>631</v>
      </c>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row>
    <row r="170" spans="1:65">
      <c r="A170" t="str">
        <f t="shared" ref="A170:A233" ca="1" si="6">TEXT(
  FLOOR( MOD(NOW(),1), TIME(0,5,0) ),
  "HH:mm"
)</f>
        <v>05:20</v>
      </c>
      <c r="B170" t="str">
        <f t="shared" ref="B170:B233" si="7">TEXT($C170, "HH:mm")</f>
        <v>17:50</v>
      </c>
      <c r="C170" s="20">
        <v>0.74305555555555558</v>
      </c>
      <c r="D170" s="17" t="s">
        <v>440</v>
      </c>
      <c r="E170" s="22"/>
      <c r="F170" s="22" t="s">
        <v>631</v>
      </c>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row>
    <row r="171" spans="1:65">
      <c r="A171" t="str">
        <f t="shared" ca="1" si="6"/>
        <v>05:20</v>
      </c>
      <c r="B171" t="str">
        <f t="shared" si="7"/>
        <v>17:55</v>
      </c>
      <c r="C171" s="17" t="s">
        <v>443</v>
      </c>
      <c r="D171" s="17" t="s">
        <v>440</v>
      </c>
      <c r="E171" s="22"/>
      <c r="F171" s="22" t="s">
        <v>631</v>
      </c>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row>
    <row r="172" spans="1:65">
      <c r="A172" t="str">
        <f t="shared" ca="1" si="6"/>
        <v>05:20</v>
      </c>
      <c r="B172" t="str">
        <f t="shared" si="7"/>
        <v>18:00</v>
      </c>
      <c r="C172" s="17" t="s">
        <v>444</v>
      </c>
      <c r="D172" s="17" t="s">
        <v>445</v>
      </c>
      <c r="E172" s="22"/>
      <c r="F172" s="22" t="s">
        <v>632</v>
      </c>
      <c r="G172" s="22"/>
      <c r="H172" s="22" t="s">
        <v>452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row>
    <row r="173" spans="1:65">
      <c r="A173" t="str">
        <f t="shared" ca="1" si="6"/>
        <v>05:20</v>
      </c>
      <c r="B173" t="str">
        <f t="shared" si="7"/>
        <v>18:05</v>
      </c>
      <c r="C173" s="17" t="s">
        <v>446</v>
      </c>
      <c r="D173" s="17" t="s">
        <v>445</v>
      </c>
      <c r="E173" s="22"/>
      <c r="F173" s="22" t="s">
        <v>632</v>
      </c>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row>
    <row r="174" spans="1:65">
      <c r="A174" t="str">
        <f t="shared" ca="1" si="6"/>
        <v>05:20</v>
      </c>
      <c r="B174" t="str">
        <f t="shared" si="7"/>
        <v>18:10</v>
      </c>
      <c r="C174" s="17" t="s">
        <v>447</v>
      </c>
      <c r="D174" s="17" t="s">
        <v>445</v>
      </c>
      <c r="E174" s="22"/>
      <c r="F174" s="22" t="s">
        <v>632</v>
      </c>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row>
    <row r="175" spans="1:65">
      <c r="A175" t="str">
        <f t="shared" ca="1" si="6"/>
        <v>05:20</v>
      </c>
      <c r="B175" t="str">
        <f t="shared" si="7"/>
        <v>18:15</v>
      </c>
      <c r="C175" s="17" t="s">
        <v>448</v>
      </c>
      <c r="D175" s="17" t="s">
        <v>445</v>
      </c>
      <c r="E175" s="22"/>
      <c r="F175" s="22" t="s">
        <v>632</v>
      </c>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row>
    <row r="176" spans="1:65">
      <c r="A176" t="str">
        <f t="shared" ca="1" si="6"/>
        <v>05:20</v>
      </c>
      <c r="B176" t="str">
        <f t="shared" si="7"/>
        <v>18:20</v>
      </c>
      <c r="C176" s="17" t="s">
        <v>449</v>
      </c>
      <c r="D176" s="17" t="s">
        <v>445</v>
      </c>
      <c r="E176" s="22"/>
      <c r="F176" s="22" t="s">
        <v>632</v>
      </c>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row>
    <row r="177" spans="1:65">
      <c r="A177" t="str">
        <f t="shared" ca="1" si="6"/>
        <v>05:20</v>
      </c>
      <c r="B177" t="str">
        <f t="shared" si="7"/>
        <v>18:25</v>
      </c>
      <c r="C177" s="17" t="s">
        <v>450</v>
      </c>
      <c r="D177" s="17" t="s">
        <v>445</v>
      </c>
      <c r="E177" s="22"/>
      <c r="F177" s="22" t="s">
        <v>632</v>
      </c>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row>
    <row r="178" spans="1:65">
      <c r="A178" t="str">
        <f t="shared" ca="1" si="6"/>
        <v>05:20</v>
      </c>
      <c r="B178" t="str">
        <f t="shared" si="7"/>
        <v>18:30</v>
      </c>
      <c r="C178" s="17" t="s">
        <v>451</v>
      </c>
      <c r="D178" s="17" t="s">
        <v>452</v>
      </c>
      <c r="E178" s="22"/>
      <c r="F178" s="22" t="s">
        <v>633</v>
      </c>
      <c r="G178" s="22"/>
      <c r="H178" s="22" t="s">
        <v>668</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row>
    <row r="179" spans="1:65">
      <c r="A179" t="str">
        <f t="shared" ca="1" si="6"/>
        <v>05:20</v>
      </c>
      <c r="B179" t="str">
        <f t="shared" si="7"/>
        <v>18:35</v>
      </c>
      <c r="C179" s="17" t="s">
        <v>453</v>
      </c>
      <c r="D179" s="17" t="s">
        <v>572</v>
      </c>
      <c r="E179" s="22"/>
      <c r="F179" s="22" t="s">
        <v>633</v>
      </c>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row>
    <row r="180" spans="1:65">
      <c r="A180" t="str">
        <f t="shared" ca="1" si="6"/>
        <v>05:20</v>
      </c>
      <c r="B180" t="str">
        <f t="shared" si="7"/>
        <v>18:40</v>
      </c>
      <c r="C180" s="17" t="s">
        <v>454</v>
      </c>
      <c r="D180" s="17" t="s">
        <v>452</v>
      </c>
      <c r="E180" s="22"/>
      <c r="F180" s="22" t="s">
        <v>633</v>
      </c>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row>
    <row r="181" spans="1:65">
      <c r="A181" t="str">
        <f t="shared" ca="1" si="6"/>
        <v>05:20</v>
      </c>
      <c r="B181" t="str">
        <f t="shared" si="7"/>
        <v>18:45</v>
      </c>
      <c r="C181" s="17" t="s">
        <v>455</v>
      </c>
      <c r="D181" s="17" t="s">
        <v>452</v>
      </c>
      <c r="E181" s="22"/>
      <c r="F181" s="22" t="s">
        <v>633</v>
      </c>
      <c r="G181" s="22"/>
      <c r="H181" s="22" t="s">
        <v>669</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row>
    <row r="182" spans="1:65">
      <c r="A182" t="str">
        <f t="shared" ca="1" si="6"/>
        <v>05:20</v>
      </c>
      <c r="B182" t="str">
        <f t="shared" si="7"/>
        <v>18:50</v>
      </c>
      <c r="C182" s="17" t="s">
        <v>456</v>
      </c>
      <c r="D182" s="17" t="s">
        <v>572</v>
      </c>
      <c r="E182" s="22" t="s">
        <v>604</v>
      </c>
      <c r="F182" s="22" t="s">
        <v>633</v>
      </c>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row>
    <row r="183" spans="1:65">
      <c r="A183" t="str">
        <f t="shared" ca="1" si="6"/>
        <v>05:20</v>
      </c>
      <c r="B183" t="str">
        <f t="shared" si="7"/>
        <v>18:55</v>
      </c>
      <c r="C183" s="17" t="s">
        <v>457</v>
      </c>
      <c r="D183" s="17" t="s">
        <v>572</v>
      </c>
      <c r="E183" s="22" t="s">
        <v>604</v>
      </c>
      <c r="F183" s="22" t="s">
        <v>633</v>
      </c>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row>
    <row r="184" spans="1:65">
      <c r="A184" t="str">
        <f t="shared" ca="1" si="6"/>
        <v>05:20</v>
      </c>
      <c r="B184" t="str">
        <f t="shared" si="7"/>
        <v>19:00</v>
      </c>
      <c r="C184" s="17" t="s">
        <v>458</v>
      </c>
      <c r="D184" s="17" t="s">
        <v>572</v>
      </c>
      <c r="E184" s="22" t="s">
        <v>573</v>
      </c>
      <c r="F184" s="22" t="s">
        <v>572</v>
      </c>
      <c r="G184" s="22"/>
      <c r="H184" s="22" t="s">
        <v>670</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row>
    <row r="185" spans="1:65">
      <c r="A185" t="str">
        <f t="shared" ca="1" si="6"/>
        <v>05:20</v>
      </c>
      <c r="B185" t="str">
        <f t="shared" si="7"/>
        <v>19:05</v>
      </c>
      <c r="C185" s="17" t="s">
        <v>459</v>
      </c>
      <c r="D185" s="17" t="s">
        <v>572</v>
      </c>
      <c r="E185" s="22" t="s">
        <v>604</v>
      </c>
      <c r="F185" s="22" t="s">
        <v>572</v>
      </c>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row>
    <row r="186" spans="1:65">
      <c r="A186" t="str">
        <f t="shared" ca="1" si="6"/>
        <v>05:20</v>
      </c>
      <c r="B186" t="str">
        <f t="shared" si="7"/>
        <v>19:10</v>
      </c>
      <c r="C186" s="17" t="s">
        <v>460</v>
      </c>
      <c r="D186" s="17" t="s">
        <v>572</v>
      </c>
      <c r="E186" s="22" t="s">
        <v>604</v>
      </c>
      <c r="F186" s="22" t="s">
        <v>572</v>
      </c>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row>
    <row r="187" spans="1:65">
      <c r="A187" t="str">
        <f t="shared" ca="1" si="6"/>
        <v>05:20</v>
      </c>
      <c r="B187" t="str">
        <f t="shared" si="7"/>
        <v>19:15</v>
      </c>
      <c r="C187" s="17" t="s">
        <v>461</v>
      </c>
      <c r="D187" s="17" t="s">
        <v>572</v>
      </c>
      <c r="E187" s="22" t="s">
        <v>604</v>
      </c>
      <c r="F187" s="22" t="s">
        <v>572</v>
      </c>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row>
    <row r="188" spans="1:65">
      <c r="A188" t="str">
        <f t="shared" ca="1" si="6"/>
        <v>05:20</v>
      </c>
      <c r="B188" t="str">
        <f t="shared" si="7"/>
        <v>19:20</v>
      </c>
      <c r="C188" s="17" t="s">
        <v>462</v>
      </c>
      <c r="D188" s="17" t="s">
        <v>572</v>
      </c>
      <c r="E188" s="22" t="s">
        <v>604</v>
      </c>
      <c r="F188" s="22" t="s">
        <v>572</v>
      </c>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row>
    <row r="189" spans="1:65">
      <c r="A189" t="str">
        <f t="shared" ca="1" si="6"/>
        <v>05:20</v>
      </c>
      <c r="B189" t="str">
        <f t="shared" si="7"/>
        <v>19:25</v>
      </c>
      <c r="C189" s="17" t="s">
        <v>463</v>
      </c>
      <c r="D189" s="17" t="s">
        <v>572</v>
      </c>
      <c r="E189" s="22" t="s">
        <v>604</v>
      </c>
      <c r="F189" s="22" t="s">
        <v>572</v>
      </c>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row>
    <row r="190" spans="1:65">
      <c r="A190" t="str">
        <f t="shared" ca="1" si="6"/>
        <v>05:20</v>
      </c>
      <c r="B190" t="str">
        <f t="shared" si="7"/>
        <v>19:30</v>
      </c>
      <c r="C190" s="17" t="s">
        <v>464</v>
      </c>
      <c r="D190" s="17" t="s">
        <v>572</v>
      </c>
      <c r="E190" s="22" t="s">
        <v>604</v>
      </c>
      <c r="F190" s="22" t="s">
        <v>572</v>
      </c>
      <c r="G190" s="22" t="s">
        <v>604</v>
      </c>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row>
    <row r="191" spans="1:65">
      <c r="A191" t="str">
        <f t="shared" ca="1" si="6"/>
        <v>05:20</v>
      </c>
      <c r="B191" t="str">
        <f t="shared" si="7"/>
        <v>19:35</v>
      </c>
      <c r="C191" s="17" t="s">
        <v>465</v>
      </c>
      <c r="D191" s="17" t="s">
        <v>609</v>
      </c>
      <c r="E191" s="22" t="s">
        <v>604</v>
      </c>
      <c r="F191" s="22" t="s">
        <v>609</v>
      </c>
      <c r="G191" s="22" t="s">
        <v>573</v>
      </c>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row>
    <row r="192" spans="1:65">
      <c r="A192" t="str">
        <f t="shared" ca="1" si="6"/>
        <v>05:20</v>
      </c>
      <c r="B192" t="str">
        <f t="shared" si="7"/>
        <v>19:40</v>
      </c>
      <c r="C192" s="17" t="s">
        <v>466</v>
      </c>
      <c r="D192" s="17" t="s">
        <v>617</v>
      </c>
      <c r="E192" s="22" t="s">
        <v>604</v>
      </c>
      <c r="F192" s="22" t="s">
        <v>617</v>
      </c>
      <c r="G192" s="22" t="s">
        <v>573</v>
      </c>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row>
    <row r="193" spans="1:65">
      <c r="A193" t="str">
        <f t="shared" ca="1" si="6"/>
        <v>05:20</v>
      </c>
      <c r="B193" t="str">
        <f t="shared" si="7"/>
        <v>19:45</v>
      </c>
      <c r="C193" s="17" t="s">
        <v>467</v>
      </c>
      <c r="D193" s="17" t="s">
        <v>618</v>
      </c>
      <c r="E193" s="22" t="s">
        <v>604</v>
      </c>
      <c r="F193" s="22" t="s">
        <v>572</v>
      </c>
      <c r="G193" s="22" t="s">
        <v>573</v>
      </c>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row>
    <row r="194" spans="1:65">
      <c r="A194" t="str">
        <f t="shared" ca="1" si="6"/>
        <v>05:20</v>
      </c>
      <c r="B194" t="str">
        <f t="shared" si="7"/>
        <v>19:50</v>
      </c>
      <c r="C194" s="17" t="s">
        <v>468</v>
      </c>
      <c r="D194" s="17" t="s">
        <v>619</v>
      </c>
      <c r="E194" s="22" t="s">
        <v>604</v>
      </c>
      <c r="F194" s="22" t="s">
        <v>619</v>
      </c>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row>
    <row r="195" spans="1:65">
      <c r="A195" t="str">
        <f t="shared" ca="1" si="6"/>
        <v>05:20</v>
      </c>
      <c r="B195" t="str">
        <f t="shared" si="7"/>
        <v>19:55</v>
      </c>
      <c r="C195" s="17" t="s">
        <v>469</v>
      </c>
      <c r="D195" s="17" t="s">
        <v>620</v>
      </c>
      <c r="E195" s="22" t="s">
        <v>604</v>
      </c>
      <c r="F195" s="22" t="s">
        <v>620</v>
      </c>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row>
    <row r="196" spans="1:65">
      <c r="A196" t="str">
        <f t="shared" ca="1" si="6"/>
        <v>05:20</v>
      </c>
      <c r="B196" t="str">
        <f t="shared" si="7"/>
        <v>20:00</v>
      </c>
      <c r="C196" s="17" t="s">
        <v>470</v>
      </c>
      <c r="D196" s="17" t="s">
        <v>621</v>
      </c>
      <c r="E196" s="22" t="s">
        <v>604</v>
      </c>
      <c r="F196" s="22" t="s">
        <v>621</v>
      </c>
      <c r="G196" s="22"/>
      <c r="H196" s="22" t="s">
        <v>671</v>
      </c>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row>
    <row r="197" spans="1:65">
      <c r="A197" t="str">
        <f t="shared" ca="1" si="6"/>
        <v>05:20</v>
      </c>
      <c r="B197" t="str">
        <f t="shared" si="7"/>
        <v>20:05</v>
      </c>
      <c r="C197" s="17" t="s">
        <v>472</v>
      </c>
      <c r="D197" s="17" t="s">
        <v>622</v>
      </c>
      <c r="E197" s="22"/>
      <c r="F197" s="22" t="s">
        <v>622</v>
      </c>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row>
    <row r="198" spans="1:65">
      <c r="A198" t="str">
        <f t="shared" ca="1" si="6"/>
        <v>05:20</v>
      </c>
      <c r="B198" t="str">
        <f t="shared" si="7"/>
        <v>20:10</v>
      </c>
      <c r="C198" s="17" t="s">
        <v>473</v>
      </c>
      <c r="D198" s="17" t="s">
        <v>471</v>
      </c>
      <c r="E198" s="22"/>
      <c r="F198" s="22" t="s">
        <v>638</v>
      </c>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row>
    <row r="199" spans="1:65">
      <c r="A199" t="str">
        <f t="shared" ca="1" si="6"/>
        <v>05:20</v>
      </c>
      <c r="B199" t="str">
        <f t="shared" si="7"/>
        <v>20:15</v>
      </c>
      <c r="C199" s="17" t="s">
        <v>474</v>
      </c>
      <c r="D199" s="17" t="s">
        <v>471</v>
      </c>
      <c r="E199" s="22"/>
      <c r="F199" s="22" t="s">
        <v>639</v>
      </c>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row>
    <row r="200" spans="1:65">
      <c r="A200" t="str">
        <f t="shared" ca="1" si="6"/>
        <v>05:20</v>
      </c>
      <c r="B200" t="str">
        <f t="shared" si="7"/>
        <v>20:20</v>
      </c>
      <c r="C200" s="17" t="s">
        <v>475</v>
      </c>
      <c r="D200" s="17" t="s">
        <v>471</v>
      </c>
      <c r="E200" s="22"/>
      <c r="F200" s="22" t="s">
        <v>640</v>
      </c>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row>
    <row r="201" spans="1:65">
      <c r="A201" t="str">
        <f t="shared" ca="1" si="6"/>
        <v>05:20</v>
      </c>
      <c r="B201" t="str">
        <f t="shared" si="7"/>
        <v>20:25</v>
      </c>
      <c r="C201" s="17" t="s">
        <v>476</v>
      </c>
      <c r="D201" s="17" t="s">
        <v>471</v>
      </c>
      <c r="E201" s="22"/>
      <c r="F201" s="22" t="s">
        <v>641</v>
      </c>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row>
    <row r="202" spans="1:65">
      <c r="A202" t="str">
        <f t="shared" ca="1" si="6"/>
        <v>05:20</v>
      </c>
      <c r="B202" t="str">
        <f t="shared" si="7"/>
        <v>20:30</v>
      </c>
      <c r="C202" s="17" t="s">
        <v>477</v>
      </c>
      <c r="D202" s="17" t="s">
        <v>471</v>
      </c>
      <c r="E202" s="22"/>
      <c r="F202" s="22" t="s">
        <v>642</v>
      </c>
      <c r="G202" s="22"/>
      <c r="H202" s="22" t="s">
        <v>445</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row>
    <row r="203" spans="1:65">
      <c r="A203" t="str">
        <f t="shared" ca="1" si="6"/>
        <v>05:20</v>
      </c>
      <c r="B203" t="str">
        <f t="shared" si="7"/>
        <v>20:35</v>
      </c>
      <c r="C203" s="17" t="s">
        <v>478</v>
      </c>
      <c r="D203" s="17" t="s">
        <v>471</v>
      </c>
      <c r="E203" s="22"/>
      <c r="F203" s="22" t="s">
        <v>643</v>
      </c>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row>
    <row r="204" spans="1:65">
      <c r="A204" t="str">
        <f t="shared" ca="1" si="6"/>
        <v>05:20</v>
      </c>
      <c r="B204" t="str">
        <f t="shared" si="7"/>
        <v>20:40</v>
      </c>
      <c r="C204" s="17" t="s">
        <v>479</v>
      </c>
      <c r="D204" s="17" t="s">
        <v>471</v>
      </c>
      <c r="E204" s="22"/>
      <c r="F204" s="22" t="s">
        <v>644</v>
      </c>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row>
    <row r="205" spans="1:65">
      <c r="A205" t="str">
        <f t="shared" ca="1" si="6"/>
        <v>05:20</v>
      </c>
      <c r="B205" t="str">
        <f t="shared" si="7"/>
        <v>20:45</v>
      </c>
      <c r="C205" s="17" t="s">
        <v>480</v>
      </c>
      <c r="D205" s="17" t="s">
        <v>471</v>
      </c>
      <c r="E205" s="22"/>
      <c r="F205" s="22" t="s">
        <v>645</v>
      </c>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row>
    <row r="206" spans="1:65">
      <c r="A206" t="str">
        <f t="shared" ca="1" si="6"/>
        <v>05:20</v>
      </c>
      <c r="B206" t="str">
        <f t="shared" si="7"/>
        <v>20:50</v>
      </c>
      <c r="C206" s="17" t="s">
        <v>481</v>
      </c>
      <c r="D206" s="17" t="s">
        <v>471</v>
      </c>
      <c r="E206" s="22"/>
      <c r="F206" s="22" t="s">
        <v>646</v>
      </c>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row>
    <row r="207" spans="1:65">
      <c r="A207" t="str">
        <f t="shared" ca="1" si="6"/>
        <v>05:20</v>
      </c>
      <c r="B207" t="str">
        <f t="shared" si="7"/>
        <v>20:55</v>
      </c>
      <c r="C207" s="17" t="s">
        <v>482</v>
      </c>
      <c r="D207" s="17" t="s">
        <v>471</v>
      </c>
      <c r="E207" s="22"/>
      <c r="F207" s="22" t="s">
        <v>647</v>
      </c>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row>
    <row r="208" spans="1:65">
      <c r="A208" t="str">
        <f t="shared" ca="1" si="6"/>
        <v>05:20</v>
      </c>
      <c r="B208" t="str">
        <f t="shared" si="7"/>
        <v>21:00</v>
      </c>
      <c r="C208" s="17" t="s">
        <v>483</v>
      </c>
      <c r="D208" s="17" t="s">
        <v>484</v>
      </c>
      <c r="E208" s="22"/>
      <c r="F208" s="22" t="s">
        <v>634</v>
      </c>
      <c r="G208" s="22"/>
      <c r="H208" s="22" t="s">
        <v>672</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row>
    <row r="209" spans="1:65">
      <c r="A209" t="str">
        <f t="shared" ca="1" si="6"/>
        <v>05:20</v>
      </c>
      <c r="B209" t="str">
        <f t="shared" si="7"/>
        <v>21:05</v>
      </c>
      <c r="C209" s="17" t="s">
        <v>485</v>
      </c>
      <c r="D209" s="17" t="s">
        <v>484</v>
      </c>
      <c r="E209" s="22"/>
      <c r="F209" s="22" t="s">
        <v>634</v>
      </c>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row>
    <row r="210" spans="1:65">
      <c r="A210" t="str">
        <f t="shared" ca="1" si="6"/>
        <v>05:20</v>
      </c>
      <c r="B210" t="str">
        <f t="shared" si="7"/>
        <v>21:10</v>
      </c>
      <c r="C210" s="17" t="s">
        <v>486</v>
      </c>
      <c r="D210" s="17" t="s">
        <v>484</v>
      </c>
      <c r="E210" s="22"/>
      <c r="F210" s="22" t="s">
        <v>634</v>
      </c>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row>
    <row r="211" spans="1:65">
      <c r="A211" t="str">
        <f t="shared" ca="1" si="6"/>
        <v>05:20</v>
      </c>
      <c r="B211" t="str">
        <f t="shared" si="7"/>
        <v>21:15</v>
      </c>
      <c r="C211" s="17" t="s">
        <v>487</v>
      </c>
      <c r="D211" s="17" t="s">
        <v>484</v>
      </c>
      <c r="E211" s="22"/>
      <c r="F211" s="22" t="s">
        <v>634</v>
      </c>
      <c r="G211" s="22"/>
      <c r="H211" s="22" t="s">
        <v>511</v>
      </c>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row>
    <row r="212" spans="1:65">
      <c r="A212" t="str">
        <f t="shared" ca="1" si="6"/>
        <v>05:20</v>
      </c>
      <c r="B212" t="str">
        <f t="shared" si="7"/>
        <v>21:20</v>
      </c>
      <c r="C212" s="17" t="s">
        <v>488</v>
      </c>
      <c r="D212" s="17" t="s">
        <v>484</v>
      </c>
      <c r="E212" s="22"/>
      <c r="F212" s="22" t="s">
        <v>634</v>
      </c>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row>
    <row r="213" spans="1:65">
      <c r="A213" t="str">
        <f t="shared" ca="1" si="6"/>
        <v>05:20</v>
      </c>
      <c r="B213" t="str">
        <f t="shared" si="7"/>
        <v>21:25</v>
      </c>
      <c r="C213" s="17" t="s">
        <v>489</v>
      </c>
      <c r="D213" s="17" t="s">
        <v>484</v>
      </c>
      <c r="E213" s="22"/>
      <c r="F213" s="22" t="s">
        <v>634</v>
      </c>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row>
    <row r="214" spans="1:65">
      <c r="A214" t="str">
        <f t="shared" ca="1" si="6"/>
        <v>05:20</v>
      </c>
      <c r="B214" t="str">
        <f t="shared" si="7"/>
        <v>21:30</v>
      </c>
      <c r="C214" s="17" t="s">
        <v>490</v>
      </c>
      <c r="D214" s="17" t="s">
        <v>484</v>
      </c>
      <c r="E214" s="22"/>
      <c r="F214" s="22" t="s">
        <v>634</v>
      </c>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row>
    <row r="215" spans="1:65">
      <c r="A215" t="str">
        <f t="shared" ca="1" si="6"/>
        <v>05:20</v>
      </c>
      <c r="B215" t="str">
        <f t="shared" si="7"/>
        <v>21:35</v>
      </c>
      <c r="C215" s="17" t="s">
        <v>491</v>
      </c>
      <c r="D215" s="17" t="s">
        <v>484</v>
      </c>
      <c r="E215" s="22"/>
      <c r="F215" s="22" t="s">
        <v>634</v>
      </c>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row>
    <row r="216" spans="1:65">
      <c r="A216" t="str">
        <f t="shared" ca="1" si="6"/>
        <v>05:20</v>
      </c>
      <c r="B216" t="str">
        <f t="shared" si="7"/>
        <v>21:40</v>
      </c>
      <c r="C216" s="17" t="s">
        <v>492</v>
      </c>
      <c r="D216" s="17" t="s">
        <v>484</v>
      </c>
      <c r="E216" s="22"/>
      <c r="F216" s="22" t="s">
        <v>634</v>
      </c>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row>
    <row r="217" spans="1:65">
      <c r="A217" t="str">
        <f t="shared" ca="1" si="6"/>
        <v>05:20</v>
      </c>
      <c r="B217" t="str">
        <f t="shared" si="7"/>
        <v>21:45</v>
      </c>
      <c r="C217" s="17" t="s">
        <v>493</v>
      </c>
      <c r="D217" s="17" t="s">
        <v>484</v>
      </c>
      <c r="E217" s="22"/>
      <c r="F217" s="22" t="s">
        <v>634</v>
      </c>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row>
    <row r="218" spans="1:65">
      <c r="A218" t="str">
        <f t="shared" ca="1" si="6"/>
        <v>05:20</v>
      </c>
      <c r="B218" t="str">
        <f t="shared" si="7"/>
        <v>21:50</v>
      </c>
      <c r="C218" s="17" t="s">
        <v>494</v>
      </c>
      <c r="D218" s="17" t="s">
        <v>484</v>
      </c>
      <c r="E218" s="22"/>
      <c r="F218" s="22" t="s">
        <v>634</v>
      </c>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row>
    <row r="219" spans="1:65">
      <c r="A219" t="str">
        <f t="shared" ca="1" si="6"/>
        <v>05:20</v>
      </c>
      <c r="B219" t="str">
        <f t="shared" si="7"/>
        <v>21:55</v>
      </c>
      <c r="C219" s="17" t="s">
        <v>495</v>
      </c>
      <c r="D219" s="17" t="s">
        <v>484</v>
      </c>
      <c r="E219" s="22"/>
      <c r="F219" s="22" t="s">
        <v>634</v>
      </c>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row>
    <row r="220" spans="1:65">
      <c r="A220" t="str">
        <f t="shared" ca="1" si="6"/>
        <v>05:20</v>
      </c>
      <c r="B220" t="str">
        <f t="shared" si="7"/>
        <v>22:00</v>
      </c>
      <c r="C220" s="17" t="s">
        <v>496</v>
      </c>
      <c r="D220" s="17" t="s">
        <v>497</v>
      </c>
      <c r="E220" s="22"/>
      <c r="F220" s="22" t="s">
        <v>635</v>
      </c>
      <c r="G220" s="22"/>
      <c r="H220" s="22" t="s">
        <v>673</v>
      </c>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row>
    <row r="221" spans="1:65">
      <c r="A221" t="str">
        <f t="shared" ca="1" si="6"/>
        <v>05:20</v>
      </c>
      <c r="B221" t="str">
        <f t="shared" si="7"/>
        <v>22:05</v>
      </c>
      <c r="C221" s="17" t="s">
        <v>498</v>
      </c>
      <c r="D221" s="17" t="s">
        <v>497</v>
      </c>
      <c r="E221" s="22"/>
      <c r="F221" s="22" t="s">
        <v>635</v>
      </c>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row>
    <row r="222" spans="1:65">
      <c r="A222" t="str">
        <f t="shared" ca="1" si="6"/>
        <v>05:20</v>
      </c>
      <c r="B222" t="str">
        <f t="shared" si="7"/>
        <v>22:10</v>
      </c>
      <c r="C222" s="17" t="s">
        <v>499</v>
      </c>
      <c r="D222" s="17" t="s">
        <v>497</v>
      </c>
      <c r="E222" s="22"/>
      <c r="F222" s="22" t="s">
        <v>635</v>
      </c>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row>
    <row r="223" spans="1:65">
      <c r="A223" t="str">
        <f t="shared" ca="1" si="6"/>
        <v>05:20</v>
      </c>
      <c r="B223" t="str">
        <f t="shared" si="7"/>
        <v>22:15</v>
      </c>
      <c r="C223" s="17" t="s">
        <v>500</v>
      </c>
      <c r="D223" s="17" t="s">
        <v>497</v>
      </c>
      <c r="E223" s="22"/>
      <c r="F223" s="22" t="s">
        <v>635</v>
      </c>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row>
    <row r="224" spans="1:65">
      <c r="A224" t="str">
        <f t="shared" ca="1" si="6"/>
        <v>05:20</v>
      </c>
      <c r="B224" t="str">
        <f t="shared" si="7"/>
        <v>22:20</v>
      </c>
      <c r="C224" s="17" t="s">
        <v>501</v>
      </c>
      <c r="D224" s="17" t="s">
        <v>497</v>
      </c>
      <c r="E224" s="22"/>
      <c r="F224" s="22" t="s">
        <v>635</v>
      </c>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row>
    <row r="225" spans="1:65">
      <c r="A225" t="str">
        <f t="shared" ca="1" si="6"/>
        <v>05:20</v>
      </c>
      <c r="B225" t="str">
        <f t="shared" si="7"/>
        <v>22:25</v>
      </c>
      <c r="C225" s="17" t="s">
        <v>502</v>
      </c>
      <c r="D225" s="17" t="s">
        <v>497</v>
      </c>
      <c r="E225" s="22"/>
      <c r="F225" s="22" t="s">
        <v>635</v>
      </c>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row>
    <row r="226" spans="1:65">
      <c r="A226" t="str">
        <f t="shared" ca="1" si="6"/>
        <v>05:20</v>
      </c>
      <c r="B226" t="str">
        <f t="shared" si="7"/>
        <v>22:30</v>
      </c>
      <c r="C226" s="17" t="s">
        <v>503</v>
      </c>
      <c r="D226" s="17" t="s">
        <v>504</v>
      </c>
      <c r="E226" s="22"/>
      <c r="F226" s="22" t="s">
        <v>636</v>
      </c>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row>
    <row r="227" spans="1:65">
      <c r="A227" t="str">
        <f t="shared" ca="1" si="6"/>
        <v>05:20</v>
      </c>
      <c r="B227" t="str">
        <f t="shared" si="7"/>
        <v>22:35</v>
      </c>
      <c r="C227" s="17" t="s">
        <v>505</v>
      </c>
      <c r="D227" s="17" t="s">
        <v>504</v>
      </c>
      <c r="E227" s="22"/>
      <c r="F227" s="22" t="s">
        <v>636</v>
      </c>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row>
    <row r="228" spans="1:65">
      <c r="A228" t="str">
        <f t="shared" ca="1" si="6"/>
        <v>05:20</v>
      </c>
      <c r="B228" t="str">
        <f t="shared" si="7"/>
        <v>22:40</v>
      </c>
      <c r="C228" s="17" t="s">
        <v>506</v>
      </c>
      <c r="D228" s="17" t="s">
        <v>504</v>
      </c>
      <c r="E228" s="22"/>
      <c r="F228" s="22" t="s">
        <v>636</v>
      </c>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row>
    <row r="229" spans="1:65">
      <c r="A229" t="str">
        <f t="shared" ca="1" si="6"/>
        <v>05:20</v>
      </c>
      <c r="B229" t="str">
        <f t="shared" si="7"/>
        <v>22:45</v>
      </c>
      <c r="C229" s="17" t="s">
        <v>507</v>
      </c>
      <c r="D229" s="17" t="s">
        <v>504</v>
      </c>
      <c r="E229" s="22"/>
      <c r="F229" s="22" t="s">
        <v>636</v>
      </c>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row>
    <row r="230" spans="1:65">
      <c r="A230" t="str">
        <f t="shared" ca="1" si="6"/>
        <v>05:20</v>
      </c>
      <c r="B230" t="str">
        <f t="shared" si="7"/>
        <v>22:50</v>
      </c>
      <c r="C230" s="17" t="s">
        <v>508</v>
      </c>
      <c r="D230" s="17" t="s">
        <v>504</v>
      </c>
      <c r="E230" s="22"/>
      <c r="F230" s="22" t="s">
        <v>636</v>
      </c>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row>
    <row r="231" spans="1:65">
      <c r="A231" t="str">
        <f t="shared" ca="1" si="6"/>
        <v>05:20</v>
      </c>
      <c r="B231" t="str">
        <f t="shared" si="7"/>
        <v>22:55</v>
      </c>
      <c r="C231" s="17" t="s">
        <v>509</v>
      </c>
      <c r="D231" s="17" t="s">
        <v>504</v>
      </c>
      <c r="E231" s="22"/>
      <c r="F231" s="22" t="s">
        <v>636</v>
      </c>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row>
    <row r="232" spans="1:65">
      <c r="A232" t="str">
        <f t="shared" ca="1" si="6"/>
        <v>05:20</v>
      </c>
      <c r="B232" t="str">
        <f t="shared" si="7"/>
        <v>23:00</v>
      </c>
      <c r="C232" s="17" t="s">
        <v>510</v>
      </c>
      <c r="D232" s="17" t="s">
        <v>511</v>
      </c>
      <c r="E232" s="22"/>
      <c r="F232" s="22" t="s">
        <v>637</v>
      </c>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row>
    <row r="233" spans="1:65">
      <c r="A233" t="str">
        <f t="shared" ca="1" si="6"/>
        <v>05:20</v>
      </c>
      <c r="B233" t="str">
        <f t="shared" si="7"/>
        <v>23:05</v>
      </c>
      <c r="C233" s="17" t="s">
        <v>512</v>
      </c>
      <c r="D233" s="17" t="s">
        <v>511</v>
      </c>
      <c r="E233" s="22"/>
      <c r="F233" s="22" t="s">
        <v>637</v>
      </c>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row>
    <row r="234" spans="1:65">
      <c r="A234" t="str">
        <f t="shared" ref="A234:A291" ca="1" si="8">TEXT(
  FLOOR( MOD(NOW(),1), TIME(0,5,0) ),
  "HH:mm"
)</f>
        <v>05:20</v>
      </c>
      <c r="B234" t="str">
        <f t="shared" ref="B234:B291" si="9">TEXT($C234, "HH:mm")</f>
        <v>23:10</v>
      </c>
      <c r="C234" s="17" t="s">
        <v>513</v>
      </c>
      <c r="D234" s="17" t="s">
        <v>511</v>
      </c>
      <c r="E234" s="22"/>
      <c r="F234" s="22" t="s">
        <v>637</v>
      </c>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row>
    <row r="235" spans="1:65">
      <c r="A235" t="str">
        <f t="shared" ca="1" si="8"/>
        <v>05:20</v>
      </c>
      <c r="B235" t="str">
        <f t="shared" si="9"/>
        <v>23:15</v>
      </c>
      <c r="C235" s="17" t="s">
        <v>514</v>
      </c>
      <c r="D235" s="17" t="s">
        <v>511</v>
      </c>
      <c r="E235" s="22"/>
      <c r="F235" s="22" t="s">
        <v>637</v>
      </c>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row>
    <row r="236" spans="1:65">
      <c r="A236" t="str">
        <f t="shared" ca="1" si="8"/>
        <v>05:20</v>
      </c>
      <c r="B236" t="str">
        <f t="shared" si="9"/>
        <v>23:20</v>
      </c>
      <c r="C236" s="17" t="s">
        <v>515</v>
      </c>
      <c r="D236" s="17" t="s">
        <v>511</v>
      </c>
      <c r="E236" s="22"/>
      <c r="F236" s="22" t="s">
        <v>637</v>
      </c>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row>
    <row r="237" spans="1:65">
      <c r="A237" t="str">
        <f t="shared" ca="1" si="8"/>
        <v>05:20</v>
      </c>
      <c r="B237" t="str">
        <f t="shared" si="9"/>
        <v>23:25</v>
      </c>
      <c r="C237" s="17" t="s">
        <v>516</v>
      </c>
      <c r="D237" s="17" t="s">
        <v>511</v>
      </c>
      <c r="E237" s="22"/>
      <c r="F237" s="22" t="s">
        <v>637</v>
      </c>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row>
    <row r="238" spans="1:65">
      <c r="A238" t="str">
        <f t="shared" ca="1" si="8"/>
        <v>05:20</v>
      </c>
      <c r="B238" t="str">
        <f t="shared" si="9"/>
        <v>23:30</v>
      </c>
      <c r="C238" s="17" t="s">
        <v>517</v>
      </c>
      <c r="D238" s="17" t="s">
        <v>518</v>
      </c>
      <c r="E238" s="22"/>
      <c r="F238" s="22" t="s">
        <v>637</v>
      </c>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row>
    <row r="239" spans="1:65">
      <c r="A239" t="str">
        <f t="shared" ca="1" si="8"/>
        <v>05:20</v>
      </c>
      <c r="B239" t="str">
        <f t="shared" si="9"/>
        <v>23:35</v>
      </c>
      <c r="C239" s="17" t="s">
        <v>519</v>
      </c>
      <c r="D239" s="17" t="s">
        <v>518</v>
      </c>
      <c r="E239" s="22"/>
      <c r="F239" s="22" t="s">
        <v>637</v>
      </c>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row>
    <row r="240" spans="1:65">
      <c r="A240" t="str">
        <f t="shared" ca="1" si="8"/>
        <v>05:20</v>
      </c>
      <c r="B240" t="str">
        <f t="shared" si="9"/>
        <v>23:40</v>
      </c>
      <c r="C240" s="17" t="s">
        <v>520</v>
      </c>
      <c r="D240" s="17" t="s">
        <v>518</v>
      </c>
      <c r="E240" s="22"/>
      <c r="F240" s="22" t="s">
        <v>637</v>
      </c>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row>
    <row r="241" spans="1:65">
      <c r="A241" t="str">
        <f t="shared" ca="1" si="8"/>
        <v>05:20</v>
      </c>
      <c r="B241" t="str">
        <f t="shared" si="9"/>
        <v>23:45</v>
      </c>
      <c r="C241" s="17" t="s">
        <v>521</v>
      </c>
      <c r="D241" s="17" t="s">
        <v>518</v>
      </c>
      <c r="E241" s="22"/>
      <c r="F241" s="22" t="s">
        <v>637</v>
      </c>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row>
    <row r="242" spans="1:65">
      <c r="A242" t="str">
        <f t="shared" ca="1" si="8"/>
        <v>05:20</v>
      </c>
      <c r="B242" t="str">
        <f t="shared" si="9"/>
        <v>23:50</v>
      </c>
      <c r="C242" s="17" t="s">
        <v>522</v>
      </c>
      <c r="D242" s="17" t="s">
        <v>518</v>
      </c>
      <c r="E242" s="22"/>
      <c r="F242" s="22" t="s">
        <v>637</v>
      </c>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row>
    <row r="243" spans="1:65">
      <c r="A243" t="str">
        <f t="shared" ca="1" si="8"/>
        <v>05:20</v>
      </c>
      <c r="B243" t="str">
        <f t="shared" si="9"/>
        <v>23:55</v>
      </c>
      <c r="C243" s="17" t="s">
        <v>523</v>
      </c>
      <c r="D243" s="17" t="s">
        <v>518</v>
      </c>
      <c r="E243" s="22"/>
      <c r="F243" s="22" t="s">
        <v>637</v>
      </c>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row>
    <row r="244" spans="1:65">
      <c r="A244" t="str">
        <f t="shared" ca="1" si="8"/>
        <v>05:20</v>
      </c>
      <c r="B244" t="str">
        <f t="shared" si="9"/>
        <v>00:00</v>
      </c>
      <c r="C244" s="17" t="s">
        <v>524</v>
      </c>
      <c r="D244" s="17" t="s">
        <v>270</v>
      </c>
      <c r="E244" s="22"/>
      <c r="F244" s="22" t="s">
        <v>623</v>
      </c>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row>
    <row r="245" spans="1:65">
      <c r="A245" t="str">
        <f t="shared" ca="1" si="8"/>
        <v>05:20</v>
      </c>
      <c r="B245" t="str">
        <f t="shared" si="9"/>
        <v>00:05</v>
      </c>
      <c r="C245" s="17" t="s">
        <v>525</v>
      </c>
      <c r="D245" s="17" t="s">
        <v>270</v>
      </c>
      <c r="E245" s="22"/>
      <c r="F245" s="22" t="s">
        <v>623</v>
      </c>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row>
    <row r="246" spans="1:65">
      <c r="A246" t="str">
        <f t="shared" ca="1" si="8"/>
        <v>05:20</v>
      </c>
      <c r="B246" t="str">
        <f t="shared" si="9"/>
        <v>00:10</v>
      </c>
      <c r="C246" s="17" t="s">
        <v>526</v>
      </c>
      <c r="D246" s="17" t="s">
        <v>270</v>
      </c>
      <c r="E246" s="22"/>
      <c r="F246" s="22" t="s">
        <v>623</v>
      </c>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row>
    <row r="247" spans="1:65">
      <c r="A247" t="str">
        <f t="shared" ca="1" si="8"/>
        <v>05:20</v>
      </c>
      <c r="B247" t="str">
        <f t="shared" si="9"/>
        <v>00:15</v>
      </c>
      <c r="C247" s="17" t="s">
        <v>527</v>
      </c>
      <c r="D247" s="17" t="s">
        <v>270</v>
      </c>
      <c r="E247" s="22"/>
      <c r="F247" s="22" t="s">
        <v>623</v>
      </c>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row>
    <row r="248" spans="1:65">
      <c r="A248" t="str">
        <f t="shared" ca="1" si="8"/>
        <v>05:20</v>
      </c>
      <c r="B248" t="str">
        <f t="shared" si="9"/>
        <v>00:20</v>
      </c>
      <c r="C248" s="17" t="s">
        <v>528</v>
      </c>
      <c r="D248" s="17" t="s">
        <v>270</v>
      </c>
      <c r="E248" s="22"/>
      <c r="F248" s="22" t="s">
        <v>623</v>
      </c>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row>
    <row r="249" spans="1:65">
      <c r="A249" t="str">
        <f t="shared" ca="1" si="8"/>
        <v>05:20</v>
      </c>
      <c r="B249" t="str">
        <f t="shared" si="9"/>
        <v>00:25</v>
      </c>
      <c r="C249" s="17" t="s">
        <v>529</v>
      </c>
      <c r="D249" s="17" t="s">
        <v>270</v>
      </c>
      <c r="E249" s="22"/>
      <c r="F249" s="22" t="s">
        <v>623</v>
      </c>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row>
    <row r="250" spans="1:65">
      <c r="A250" t="str">
        <f t="shared" ca="1" si="8"/>
        <v>05:20</v>
      </c>
      <c r="B250" t="str">
        <f t="shared" si="9"/>
        <v>00:30</v>
      </c>
      <c r="C250" s="17" t="s">
        <v>530</v>
      </c>
      <c r="D250" s="17" t="s">
        <v>270</v>
      </c>
      <c r="E250" s="22"/>
      <c r="F250" s="22" t="s">
        <v>623</v>
      </c>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row>
    <row r="251" spans="1:65">
      <c r="A251" t="str">
        <f t="shared" ca="1" si="8"/>
        <v>05:20</v>
      </c>
      <c r="B251" t="str">
        <f t="shared" si="9"/>
        <v>00:35</v>
      </c>
      <c r="C251" s="17" t="s">
        <v>531</v>
      </c>
      <c r="D251" s="17" t="s">
        <v>270</v>
      </c>
      <c r="E251" s="22"/>
      <c r="F251" s="22" t="s">
        <v>623</v>
      </c>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row>
    <row r="252" spans="1:65">
      <c r="A252" t="str">
        <f t="shared" ca="1" si="8"/>
        <v>05:20</v>
      </c>
      <c r="B252" t="str">
        <f t="shared" si="9"/>
        <v>00:40</v>
      </c>
      <c r="C252" s="17" t="s">
        <v>532</v>
      </c>
      <c r="D252" s="17" t="s">
        <v>270</v>
      </c>
      <c r="E252" s="22"/>
      <c r="F252" s="22" t="s">
        <v>623</v>
      </c>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row>
    <row r="253" spans="1:65">
      <c r="A253" t="str">
        <f t="shared" ca="1" si="8"/>
        <v>05:20</v>
      </c>
      <c r="B253" t="str">
        <f t="shared" si="9"/>
        <v>00:45</v>
      </c>
      <c r="C253" s="17" t="s">
        <v>533</v>
      </c>
      <c r="D253" s="17" t="s">
        <v>270</v>
      </c>
      <c r="E253" s="22"/>
      <c r="F253" s="22" t="s">
        <v>623</v>
      </c>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row>
    <row r="254" spans="1:65">
      <c r="A254" t="str">
        <f t="shared" ca="1" si="8"/>
        <v>05:20</v>
      </c>
      <c r="B254" t="str">
        <f t="shared" si="9"/>
        <v>00:50</v>
      </c>
      <c r="C254" s="17" t="s">
        <v>534</v>
      </c>
      <c r="D254" s="17" t="s">
        <v>270</v>
      </c>
      <c r="E254" s="22"/>
      <c r="F254" s="22" t="s">
        <v>623</v>
      </c>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row>
    <row r="255" spans="1:65">
      <c r="A255" t="str">
        <f t="shared" ca="1" si="8"/>
        <v>05:20</v>
      </c>
      <c r="B255" t="str">
        <f t="shared" si="9"/>
        <v>00:55</v>
      </c>
      <c r="C255" s="17" t="s">
        <v>535</v>
      </c>
      <c r="D255" s="17" t="s">
        <v>270</v>
      </c>
      <c r="E255" s="22"/>
      <c r="F255" s="22" t="s">
        <v>623</v>
      </c>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row>
    <row r="256" spans="1:65">
      <c r="A256" t="str">
        <f t="shared" ca="1" si="8"/>
        <v>05:20</v>
      </c>
      <c r="B256" t="str">
        <f t="shared" si="9"/>
        <v>01:00</v>
      </c>
      <c r="C256" s="17" t="s">
        <v>536</v>
      </c>
      <c r="D256" s="17" t="s">
        <v>270</v>
      </c>
      <c r="E256" s="22"/>
      <c r="F256" s="22" t="s">
        <v>623</v>
      </c>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row>
    <row r="257" spans="1:65">
      <c r="A257" t="str">
        <f t="shared" ca="1" si="8"/>
        <v>05:20</v>
      </c>
      <c r="B257" t="str">
        <f t="shared" si="9"/>
        <v>01:05</v>
      </c>
      <c r="C257" s="17" t="s">
        <v>537</v>
      </c>
      <c r="D257" s="17" t="s">
        <v>270</v>
      </c>
      <c r="E257" s="22"/>
      <c r="F257" s="22" t="s">
        <v>623</v>
      </c>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row>
    <row r="258" spans="1:65">
      <c r="A258" t="str">
        <f t="shared" ca="1" si="8"/>
        <v>05:20</v>
      </c>
      <c r="B258" t="str">
        <f t="shared" si="9"/>
        <v>01:10</v>
      </c>
      <c r="C258" s="17" t="s">
        <v>538</v>
      </c>
      <c r="D258" s="17" t="s">
        <v>270</v>
      </c>
      <c r="E258" s="22"/>
      <c r="F258" s="22" t="s">
        <v>623</v>
      </c>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row>
    <row r="259" spans="1:65">
      <c r="A259" t="str">
        <f t="shared" ca="1" si="8"/>
        <v>05:20</v>
      </c>
      <c r="B259" t="str">
        <f t="shared" si="9"/>
        <v>01:15</v>
      </c>
      <c r="C259" s="17" t="s">
        <v>539</v>
      </c>
      <c r="D259" s="17" t="s">
        <v>270</v>
      </c>
      <c r="E259" s="22"/>
      <c r="F259" s="22" t="s">
        <v>623</v>
      </c>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row>
    <row r="260" spans="1:65">
      <c r="A260" t="str">
        <f t="shared" ca="1" si="8"/>
        <v>05:20</v>
      </c>
      <c r="B260" t="str">
        <f t="shared" si="9"/>
        <v>01:20</v>
      </c>
      <c r="C260" s="17" t="s">
        <v>540</v>
      </c>
      <c r="D260" s="17" t="s">
        <v>270</v>
      </c>
      <c r="E260" s="22"/>
      <c r="F260" s="22" t="s">
        <v>623</v>
      </c>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row>
    <row r="261" spans="1:65">
      <c r="A261" t="str">
        <f t="shared" ca="1" si="8"/>
        <v>05:20</v>
      </c>
      <c r="B261" t="str">
        <f t="shared" si="9"/>
        <v>01:25</v>
      </c>
      <c r="C261" s="17" t="s">
        <v>541</v>
      </c>
      <c r="D261" s="17" t="s">
        <v>270</v>
      </c>
      <c r="E261" s="22"/>
      <c r="F261" s="22" t="s">
        <v>623</v>
      </c>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row>
    <row r="262" spans="1:65">
      <c r="A262" t="str">
        <f t="shared" ca="1" si="8"/>
        <v>05:20</v>
      </c>
      <c r="B262" t="str">
        <f t="shared" si="9"/>
        <v>01:30</v>
      </c>
      <c r="C262" s="17" t="s">
        <v>542</v>
      </c>
      <c r="D262" s="17" t="s">
        <v>270</v>
      </c>
      <c r="E262" s="22"/>
      <c r="F262" s="22" t="s">
        <v>623</v>
      </c>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row>
    <row r="263" spans="1:65">
      <c r="A263" t="str">
        <f t="shared" ca="1" si="8"/>
        <v>05:20</v>
      </c>
      <c r="B263" t="str">
        <f t="shared" si="9"/>
        <v>01:35</v>
      </c>
      <c r="C263" s="17" t="s">
        <v>543</v>
      </c>
      <c r="D263" s="17" t="s">
        <v>270</v>
      </c>
      <c r="E263" s="22"/>
      <c r="F263" s="22" t="s">
        <v>623</v>
      </c>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row>
    <row r="264" spans="1:65">
      <c r="A264" t="str">
        <f t="shared" ca="1" si="8"/>
        <v>05:20</v>
      </c>
      <c r="B264" t="str">
        <f t="shared" si="9"/>
        <v>01:40</v>
      </c>
      <c r="C264" s="17" t="s">
        <v>544</v>
      </c>
      <c r="D264" s="17" t="s">
        <v>270</v>
      </c>
      <c r="E264" s="22"/>
      <c r="F264" s="22" t="s">
        <v>623</v>
      </c>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row>
    <row r="265" spans="1:65">
      <c r="A265" t="str">
        <f t="shared" ca="1" si="8"/>
        <v>05:20</v>
      </c>
      <c r="B265" t="str">
        <f t="shared" si="9"/>
        <v>01:45</v>
      </c>
      <c r="C265" s="17" t="s">
        <v>545</v>
      </c>
      <c r="D265" s="17" t="s">
        <v>270</v>
      </c>
      <c r="E265" s="22"/>
      <c r="F265" s="22" t="s">
        <v>623</v>
      </c>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row>
    <row r="266" spans="1:65">
      <c r="A266" t="str">
        <f t="shared" ca="1" si="8"/>
        <v>05:20</v>
      </c>
      <c r="B266" t="str">
        <f t="shared" si="9"/>
        <v>01:50</v>
      </c>
      <c r="C266" s="17" t="s">
        <v>546</v>
      </c>
      <c r="D266" s="17" t="s">
        <v>270</v>
      </c>
      <c r="E266" s="22"/>
      <c r="F266" s="22" t="s">
        <v>623</v>
      </c>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row>
    <row r="267" spans="1:65">
      <c r="A267" t="str">
        <f t="shared" ca="1" si="8"/>
        <v>05:20</v>
      </c>
      <c r="B267" t="str">
        <f t="shared" si="9"/>
        <v>01:55</v>
      </c>
      <c r="C267" s="17" t="s">
        <v>547</v>
      </c>
      <c r="D267" s="17" t="s">
        <v>270</v>
      </c>
      <c r="E267" s="22"/>
      <c r="F267" s="22" t="s">
        <v>623</v>
      </c>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row>
    <row r="268" spans="1:65">
      <c r="A268" t="str">
        <f t="shared" ca="1" si="8"/>
        <v>05:20</v>
      </c>
      <c r="B268" t="str">
        <f t="shared" si="9"/>
        <v>02:00</v>
      </c>
      <c r="C268" s="17" t="s">
        <v>548</v>
      </c>
      <c r="D268" s="17" t="s">
        <v>270</v>
      </c>
      <c r="E268" s="22"/>
      <c r="F268" s="22" t="s">
        <v>623</v>
      </c>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row>
    <row r="269" spans="1:65">
      <c r="A269" t="str">
        <f t="shared" ca="1" si="8"/>
        <v>05:20</v>
      </c>
      <c r="B269" t="str">
        <f t="shared" si="9"/>
        <v>02:05</v>
      </c>
      <c r="C269" s="17" t="s">
        <v>549</v>
      </c>
      <c r="D269" s="17" t="s">
        <v>270</v>
      </c>
      <c r="E269" s="22"/>
      <c r="F269" s="22" t="s">
        <v>623</v>
      </c>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row>
    <row r="270" spans="1:65">
      <c r="A270" t="str">
        <f t="shared" ca="1" si="8"/>
        <v>05:20</v>
      </c>
      <c r="B270" t="str">
        <f t="shared" si="9"/>
        <v>02:10</v>
      </c>
      <c r="C270" s="17" t="s">
        <v>550</v>
      </c>
      <c r="D270" s="17" t="s">
        <v>270</v>
      </c>
      <c r="E270" s="22"/>
      <c r="F270" s="22" t="s">
        <v>623</v>
      </c>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row>
    <row r="271" spans="1:65">
      <c r="A271" t="str">
        <f t="shared" ca="1" si="8"/>
        <v>05:20</v>
      </c>
      <c r="B271" t="str">
        <f t="shared" si="9"/>
        <v>02:15</v>
      </c>
      <c r="C271" s="17" t="s">
        <v>551</v>
      </c>
      <c r="D271" s="17" t="s">
        <v>270</v>
      </c>
      <c r="E271" s="22"/>
      <c r="F271" s="22" t="s">
        <v>623</v>
      </c>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row>
    <row r="272" spans="1:65">
      <c r="A272" t="str">
        <f t="shared" ca="1" si="8"/>
        <v>05:20</v>
      </c>
      <c r="B272" t="str">
        <f t="shared" si="9"/>
        <v>02:20</v>
      </c>
      <c r="C272" s="17" t="s">
        <v>552</v>
      </c>
      <c r="D272" s="17" t="s">
        <v>270</v>
      </c>
      <c r="E272" s="22"/>
      <c r="F272" s="22" t="s">
        <v>623</v>
      </c>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row>
    <row r="273" spans="1:65">
      <c r="A273" t="str">
        <f t="shared" ca="1" si="8"/>
        <v>05:20</v>
      </c>
      <c r="B273" t="str">
        <f t="shared" si="9"/>
        <v>02:25</v>
      </c>
      <c r="C273" s="17" t="s">
        <v>553</v>
      </c>
      <c r="D273" s="17" t="s">
        <v>270</v>
      </c>
      <c r="E273" s="22"/>
      <c r="F273" s="22" t="s">
        <v>623</v>
      </c>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row>
    <row r="274" spans="1:65">
      <c r="A274" t="str">
        <f t="shared" ca="1" si="8"/>
        <v>05:20</v>
      </c>
      <c r="B274" t="str">
        <f t="shared" si="9"/>
        <v>02:30</v>
      </c>
      <c r="C274" s="17" t="s">
        <v>554</v>
      </c>
      <c r="D274" s="17" t="s">
        <v>270</v>
      </c>
      <c r="E274" s="22"/>
      <c r="F274" s="22" t="s">
        <v>623</v>
      </c>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row>
    <row r="275" spans="1:65">
      <c r="A275" t="str">
        <f t="shared" ca="1" si="8"/>
        <v>05:20</v>
      </c>
      <c r="B275" t="str">
        <f t="shared" si="9"/>
        <v>02:35</v>
      </c>
      <c r="C275" s="17" t="s">
        <v>555</v>
      </c>
      <c r="D275" s="17" t="s">
        <v>270</v>
      </c>
      <c r="E275" s="22"/>
      <c r="F275" s="22" t="s">
        <v>623</v>
      </c>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row>
    <row r="276" spans="1:65">
      <c r="A276" t="str">
        <f t="shared" ca="1" si="8"/>
        <v>05:20</v>
      </c>
      <c r="B276" t="str">
        <f t="shared" si="9"/>
        <v>02:40</v>
      </c>
      <c r="C276" s="17" t="s">
        <v>556</v>
      </c>
      <c r="D276" s="17" t="s">
        <v>270</v>
      </c>
      <c r="E276" s="22"/>
      <c r="F276" s="22" t="s">
        <v>623</v>
      </c>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row>
    <row r="277" spans="1:65">
      <c r="A277" t="str">
        <f t="shared" ca="1" si="8"/>
        <v>05:20</v>
      </c>
      <c r="B277" t="str">
        <f t="shared" si="9"/>
        <v>02:45</v>
      </c>
      <c r="C277" s="17" t="s">
        <v>557</v>
      </c>
      <c r="D277" s="17" t="s">
        <v>270</v>
      </c>
      <c r="E277" s="22"/>
      <c r="F277" s="22" t="s">
        <v>623</v>
      </c>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row>
    <row r="278" spans="1:65">
      <c r="A278" t="str">
        <f t="shared" ca="1" si="8"/>
        <v>05:20</v>
      </c>
      <c r="B278" t="str">
        <f t="shared" si="9"/>
        <v>02:50</v>
      </c>
      <c r="C278" s="17" t="s">
        <v>558</v>
      </c>
      <c r="D278" s="17" t="s">
        <v>270</v>
      </c>
      <c r="E278" s="22"/>
      <c r="F278" s="22" t="s">
        <v>623</v>
      </c>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row>
    <row r="279" spans="1:65">
      <c r="A279" t="str">
        <f t="shared" ca="1" si="8"/>
        <v>05:20</v>
      </c>
      <c r="B279" t="str">
        <f t="shared" si="9"/>
        <v>02:55</v>
      </c>
      <c r="C279" s="17" t="s">
        <v>559</v>
      </c>
      <c r="D279" s="17" t="s">
        <v>270</v>
      </c>
      <c r="E279" s="22"/>
      <c r="F279" s="22" t="s">
        <v>623</v>
      </c>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row>
    <row r="280" spans="1:65">
      <c r="A280" t="str">
        <f t="shared" ca="1" si="8"/>
        <v>05:20</v>
      </c>
      <c r="B280" t="str">
        <f t="shared" si="9"/>
        <v>03:00</v>
      </c>
      <c r="C280" s="17" t="s">
        <v>560</v>
      </c>
      <c r="D280" s="17" t="s">
        <v>270</v>
      </c>
      <c r="E280" s="22"/>
      <c r="F280" s="22" t="s">
        <v>623</v>
      </c>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row>
    <row r="281" spans="1:65">
      <c r="A281" t="str">
        <f t="shared" ca="1" si="8"/>
        <v>05:20</v>
      </c>
      <c r="B281" t="str">
        <f t="shared" si="9"/>
        <v>03:05</v>
      </c>
      <c r="C281" s="17" t="s">
        <v>561</v>
      </c>
      <c r="D281" s="17" t="s">
        <v>270</v>
      </c>
      <c r="E281" s="22"/>
      <c r="F281" s="22" t="s">
        <v>623</v>
      </c>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row>
    <row r="282" spans="1:65">
      <c r="A282" t="str">
        <f t="shared" ca="1" si="8"/>
        <v>05:20</v>
      </c>
      <c r="B282" t="str">
        <f t="shared" si="9"/>
        <v>03:10</v>
      </c>
      <c r="C282" s="17" t="s">
        <v>562</v>
      </c>
      <c r="D282" s="17" t="s">
        <v>270</v>
      </c>
      <c r="E282" s="22"/>
      <c r="F282" s="22" t="s">
        <v>623</v>
      </c>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row>
    <row r="283" spans="1:65">
      <c r="A283" t="str">
        <f t="shared" ca="1" si="8"/>
        <v>05:20</v>
      </c>
      <c r="B283" t="str">
        <f t="shared" si="9"/>
        <v>03:15</v>
      </c>
      <c r="C283" s="17" t="s">
        <v>563</v>
      </c>
      <c r="D283" s="17" t="s">
        <v>270</v>
      </c>
      <c r="E283" s="22"/>
      <c r="F283" s="22" t="s">
        <v>623</v>
      </c>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row>
    <row r="284" spans="1:65">
      <c r="A284" t="str">
        <f t="shared" ca="1" si="8"/>
        <v>05:20</v>
      </c>
      <c r="B284" t="str">
        <f t="shared" si="9"/>
        <v>03:20</v>
      </c>
      <c r="C284" s="17" t="s">
        <v>564</v>
      </c>
      <c r="D284" s="17" t="s">
        <v>270</v>
      </c>
      <c r="E284" s="22"/>
      <c r="F284" s="22" t="s">
        <v>623</v>
      </c>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row>
    <row r="285" spans="1:65">
      <c r="A285" t="str">
        <f t="shared" ca="1" si="8"/>
        <v>05:20</v>
      </c>
      <c r="B285" t="str">
        <f t="shared" si="9"/>
        <v>03:25</v>
      </c>
      <c r="C285" s="17" t="s">
        <v>565</v>
      </c>
      <c r="D285" s="17" t="s">
        <v>270</v>
      </c>
      <c r="E285" s="22"/>
      <c r="F285" s="22" t="s">
        <v>623</v>
      </c>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row>
    <row r="286" spans="1:65">
      <c r="A286" t="str">
        <f t="shared" ca="1" si="8"/>
        <v>05:20</v>
      </c>
      <c r="B286" t="str">
        <f t="shared" si="9"/>
        <v>03:30</v>
      </c>
      <c r="C286" s="17" t="s">
        <v>566</v>
      </c>
      <c r="D286" s="17" t="s">
        <v>270</v>
      </c>
      <c r="E286" s="22"/>
      <c r="F286" s="22" t="s">
        <v>623</v>
      </c>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row>
    <row r="287" spans="1:65">
      <c r="A287" t="str">
        <f t="shared" ca="1" si="8"/>
        <v>05:20</v>
      </c>
      <c r="B287" t="str">
        <f t="shared" si="9"/>
        <v>03:35</v>
      </c>
      <c r="C287" s="17" t="s">
        <v>567</v>
      </c>
      <c r="D287" s="17" t="s">
        <v>270</v>
      </c>
      <c r="E287" s="22"/>
      <c r="F287" s="22" t="s">
        <v>623</v>
      </c>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row>
    <row r="288" spans="1:65">
      <c r="A288" t="str">
        <f t="shared" ca="1" si="8"/>
        <v>05:20</v>
      </c>
      <c r="B288" t="str">
        <f t="shared" si="9"/>
        <v>03:40</v>
      </c>
      <c r="C288" s="17" t="s">
        <v>568</v>
      </c>
      <c r="D288" s="17" t="s">
        <v>270</v>
      </c>
      <c r="E288" s="22"/>
      <c r="F288" s="22" t="s">
        <v>623</v>
      </c>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row>
    <row r="289" spans="1:65">
      <c r="A289" t="str">
        <f t="shared" ca="1" si="8"/>
        <v>05:20</v>
      </c>
      <c r="B289" t="str">
        <f t="shared" si="9"/>
        <v>03:45</v>
      </c>
      <c r="C289" s="17" t="s">
        <v>569</v>
      </c>
      <c r="D289" s="17" t="s">
        <v>270</v>
      </c>
      <c r="E289" s="22"/>
      <c r="F289" s="22" t="s">
        <v>623</v>
      </c>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row>
    <row r="290" spans="1:65">
      <c r="A290" t="str">
        <f t="shared" ca="1" si="8"/>
        <v>05:20</v>
      </c>
      <c r="B290" t="str">
        <f t="shared" si="9"/>
        <v>03:50</v>
      </c>
      <c r="C290" s="17" t="s">
        <v>570</v>
      </c>
      <c r="D290" s="17" t="s">
        <v>270</v>
      </c>
      <c r="E290" s="22"/>
      <c r="F290" s="22" t="s">
        <v>623</v>
      </c>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row>
    <row r="291" spans="1:65">
      <c r="A291" t="str">
        <f t="shared" ca="1" si="8"/>
        <v>05:20</v>
      </c>
      <c r="B291" t="str">
        <f t="shared" si="9"/>
        <v>03:55</v>
      </c>
      <c r="C291" s="17" t="s">
        <v>571</v>
      </c>
      <c r="D291" s="17" t="s">
        <v>270</v>
      </c>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row>
  </sheetData>
  <phoneticPr fontId="1"/>
  <conditionalFormatting sqref="A1:AG2 A3:BM3 A4:AG1048576">
    <cfRule type="expression" dxfId="2" priority="7">
      <formula>A$3=TODAY()</formula>
    </cfRule>
  </conditionalFormatting>
  <conditionalFormatting sqref="A4:AG1048576 A1:AG2 A3:BM3">
    <cfRule type="expression" dxfId="1" priority="4">
      <formula>TEXT(FLOOR( MOD(NOW(),1), TIME(0,5,0)),"HH:mm")=TEXT($C1,"HH:mm")</formula>
    </cfRule>
  </conditionalFormatting>
  <conditionalFormatting sqref="B4:B291">
    <cfRule type="expression" dxfId="0" priority="1">
      <formula>$A4=$B4</formula>
    </cfRule>
  </conditionalFormatting>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58C87-2C93-43E5-8405-38AB5C73D6BE}">
  <dimension ref="B3:B13"/>
  <sheetViews>
    <sheetView workbookViewId="0">
      <selection activeCell="H18" sqref="H18"/>
    </sheetView>
  </sheetViews>
  <sheetFormatPr defaultRowHeight="13.5"/>
  <sheetData>
    <row r="3" spans="2:2">
      <c r="B3" s="2" t="s">
        <v>651</v>
      </c>
    </row>
    <row r="4" spans="2:2" ht="14.25">
      <c r="B4" s="23">
        <v>0</v>
      </c>
    </row>
    <row r="5" spans="2:2" ht="14.25">
      <c r="B5" s="24" t="s">
        <v>649</v>
      </c>
    </row>
    <row r="6" spans="2:2" ht="14.25">
      <c r="B6" s="23">
        <v>4.1666666666666666E-3</v>
      </c>
    </row>
    <row r="7" spans="2:2" ht="14.25">
      <c r="B7" s="24" t="s">
        <v>650</v>
      </c>
    </row>
    <row r="8" spans="2:2" ht="14.25">
      <c r="B8" s="23">
        <v>8.3333333333333332E-3</v>
      </c>
    </row>
    <row r="9" spans="2:2" ht="14.25">
      <c r="B9" s="24" t="s">
        <v>674</v>
      </c>
    </row>
    <row r="10" spans="2:2" ht="14.25">
      <c r="B10" s="23">
        <v>1.3194444444444444E-2</v>
      </c>
    </row>
    <row r="11" spans="2:2" ht="14.25">
      <c r="B11" s="24" t="s">
        <v>675</v>
      </c>
    </row>
    <row r="12" spans="2:2">
      <c r="B12" s="25">
        <v>1.7361111111111112E-2</v>
      </c>
    </row>
    <row r="13" spans="2:2">
      <c r="B13" t="s">
        <v>676</v>
      </c>
    </row>
  </sheetData>
  <phoneticPr fontId="1"/>
  <hyperlinks>
    <hyperlink ref="B3" r:id="rId1" xr:uid="{1592C6E0-7587-42B0-BF1B-3FBFEDF00B08}"/>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E5208-1AA2-4457-A1CF-56BEFB0E0D49}">
  <dimension ref="C3"/>
  <sheetViews>
    <sheetView workbookViewId="0">
      <selection activeCell="C3" sqref="C3"/>
    </sheetView>
  </sheetViews>
  <sheetFormatPr defaultRowHeight="13.5"/>
  <cols>
    <col min="3" max="3" width="65" bestFit="1" customWidth="1"/>
  </cols>
  <sheetData>
    <row r="3" spans="3:3" ht="54">
      <c r="C3" s="3" t="s">
        <v>677</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D176E-9EB8-44B3-9B79-201E189F863E}">
  <dimension ref="B2:E25"/>
  <sheetViews>
    <sheetView topLeftCell="A3" workbookViewId="0">
      <selection activeCell="C26" sqref="C26"/>
    </sheetView>
  </sheetViews>
  <sheetFormatPr defaultRowHeight="13.5"/>
  <cols>
    <col min="2" max="2" width="10.5" bestFit="1" customWidth="1"/>
    <col min="3" max="3" width="71.375" customWidth="1"/>
  </cols>
  <sheetData>
    <row r="2" spans="2:5">
      <c r="D2" t="s">
        <v>695</v>
      </c>
      <c r="E2" t="s">
        <v>696</v>
      </c>
    </row>
    <row r="3" spans="2:5">
      <c r="B3" s="1">
        <v>45802</v>
      </c>
      <c r="C3" t="s">
        <v>692</v>
      </c>
      <c r="D3" t="s">
        <v>165</v>
      </c>
      <c r="E3" t="s">
        <v>165</v>
      </c>
    </row>
    <row r="4" spans="2:5">
      <c r="C4" t="s">
        <v>693</v>
      </c>
      <c r="D4" t="s">
        <v>165</v>
      </c>
      <c r="E4" t="s">
        <v>165</v>
      </c>
    </row>
    <row r="5" spans="2:5" ht="27">
      <c r="C5" s="3" t="s">
        <v>694</v>
      </c>
      <c r="D5" t="s">
        <v>165</v>
      </c>
      <c r="E5" t="s">
        <v>165</v>
      </c>
    </row>
    <row r="6" spans="2:5" ht="27">
      <c r="C6" s="3" t="s">
        <v>697</v>
      </c>
      <c r="D6" t="s">
        <v>165</v>
      </c>
      <c r="E6" t="s">
        <v>165</v>
      </c>
    </row>
    <row r="7" spans="2:5">
      <c r="C7" t="s">
        <v>698</v>
      </c>
      <c r="D7" t="s">
        <v>165</v>
      </c>
      <c r="E7" t="s">
        <v>165</v>
      </c>
    </row>
    <row r="8" spans="2:5">
      <c r="C8" t="s">
        <v>699</v>
      </c>
      <c r="D8" t="s">
        <v>165</v>
      </c>
      <c r="E8" t="s">
        <v>165</v>
      </c>
    </row>
    <row r="9" spans="2:5" ht="27">
      <c r="C9" s="3" t="s">
        <v>700</v>
      </c>
      <c r="D9" t="s">
        <v>165</v>
      </c>
      <c r="E9" t="s">
        <v>165</v>
      </c>
    </row>
    <row r="10" spans="2:5" ht="27">
      <c r="C10" s="3" t="s">
        <v>701</v>
      </c>
      <c r="D10" t="s">
        <v>165</v>
      </c>
      <c r="E10" t="s">
        <v>165</v>
      </c>
    </row>
    <row r="11" spans="2:5">
      <c r="C11" s="3" t="s">
        <v>702</v>
      </c>
    </row>
    <row r="12" spans="2:5" ht="27">
      <c r="C12" s="3" t="s">
        <v>703</v>
      </c>
    </row>
    <row r="13" spans="2:5" ht="27">
      <c r="C13" s="3" t="s">
        <v>704</v>
      </c>
    </row>
    <row r="14" spans="2:5" ht="27">
      <c r="C14" s="3" t="s">
        <v>705</v>
      </c>
    </row>
    <row r="15" spans="2:5">
      <c r="C15" s="3" t="s">
        <v>706</v>
      </c>
    </row>
    <row r="16" spans="2:5" ht="27">
      <c r="C16" s="3" t="s">
        <v>707</v>
      </c>
    </row>
    <row r="17" spans="3:3">
      <c r="C17" s="3" t="s">
        <v>708</v>
      </c>
    </row>
    <row r="18" spans="3:3">
      <c r="C18" s="3" t="s">
        <v>709</v>
      </c>
    </row>
    <row r="19" spans="3:3" ht="27">
      <c r="C19" s="3" t="s">
        <v>710</v>
      </c>
    </row>
    <row r="20" spans="3:3" ht="27">
      <c r="C20" s="3" t="s">
        <v>711</v>
      </c>
    </row>
    <row r="21" spans="3:3" ht="27">
      <c r="C21" s="3" t="s">
        <v>712</v>
      </c>
    </row>
    <row r="22" spans="3:3" ht="27">
      <c r="C22" s="3" t="s">
        <v>713</v>
      </c>
    </row>
    <row r="23" spans="3:3" ht="27">
      <c r="C23" s="3" t="s">
        <v>714</v>
      </c>
    </row>
    <row r="24" spans="3:3" ht="27">
      <c r="C24" s="3" t="s">
        <v>715</v>
      </c>
    </row>
    <row r="25" spans="3:3" ht="27">
      <c r="C25" s="3" t="s">
        <v>716</v>
      </c>
    </row>
  </sheetData>
  <phoneticPr fontId="1"/>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2D65-ECA4-4EF7-BEC6-93BAB5468A01}">
  <dimension ref="B3:C83"/>
  <sheetViews>
    <sheetView workbookViewId="0">
      <selection activeCell="B84" sqref="B84"/>
    </sheetView>
  </sheetViews>
  <sheetFormatPr defaultRowHeight="13.5"/>
  <sheetData>
    <row r="3" spans="3:3" ht="21">
      <c r="C3" s="4" t="s">
        <v>98</v>
      </c>
    </row>
    <row r="4" spans="3:3">
      <c r="C4" s="7"/>
    </row>
    <row r="5" spans="3:3">
      <c r="C5" s="8" t="s">
        <v>99</v>
      </c>
    </row>
    <row r="6" spans="3:3">
      <c r="C6" s="7"/>
    </row>
    <row r="7" spans="3:3">
      <c r="C7" s="8" t="s">
        <v>100</v>
      </c>
    </row>
    <row r="8" spans="3:3">
      <c r="C8" s="7"/>
    </row>
    <row r="9" spans="3:3">
      <c r="C9" s="8" t="s">
        <v>101</v>
      </c>
    </row>
    <row r="10" spans="3:3">
      <c r="C10" s="7"/>
    </row>
    <row r="11" spans="3:3">
      <c r="C11" s="8" t="s">
        <v>102</v>
      </c>
    </row>
    <row r="12" spans="3:3">
      <c r="C12" s="7"/>
    </row>
    <row r="13" spans="3:3">
      <c r="C13" s="8" t="s">
        <v>103</v>
      </c>
    </row>
    <row r="14" spans="3:3">
      <c r="C14" s="7"/>
    </row>
    <row r="15" spans="3:3">
      <c r="C15" s="8" t="s">
        <v>104</v>
      </c>
    </row>
    <row r="16" spans="3:3">
      <c r="C16" s="7"/>
    </row>
    <row r="17" spans="3:3">
      <c r="C17" s="8" t="s">
        <v>105</v>
      </c>
    </row>
    <row r="18" spans="3:3">
      <c r="C18" s="7"/>
    </row>
    <row r="19" spans="3:3">
      <c r="C19" s="8" t="s">
        <v>106</v>
      </c>
    </row>
    <row r="20" spans="3:3">
      <c r="C20" s="7"/>
    </row>
    <row r="21" spans="3:3">
      <c r="C21" s="8" t="s">
        <v>107</v>
      </c>
    </row>
    <row r="22" spans="3:3">
      <c r="C22" s="7"/>
    </row>
    <row r="23" spans="3:3">
      <c r="C23" s="8" t="s">
        <v>108</v>
      </c>
    </row>
    <row r="24" spans="3:3">
      <c r="C24" s="7"/>
    </row>
    <row r="25" spans="3:3">
      <c r="C25" s="8" t="s">
        <v>109</v>
      </c>
    </row>
    <row r="26" spans="3:3">
      <c r="C26" s="7"/>
    </row>
    <row r="27" spans="3:3">
      <c r="C27" s="8" t="s">
        <v>110</v>
      </c>
    </row>
    <row r="28" spans="3:3">
      <c r="C28" s="7"/>
    </row>
    <row r="29" spans="3:3">
      <c r="C29" s="8" t="s">
        <v>111</v>
      </c>
    </row>
    <row r="30" spans="3:3">
      <c r="C30" s="7"/>
    </row>
    <row r="31" spans="3:3">
      <c r="C31" s="8" t="s">
        <v>112</v>
      </c>
    </row>
    <row r="32" spans="3:3">
      <c r="C32" s="7"/>
    </row>
    <row r="33" spans="3:3">
      <c r="C33" s="8" t="s">
        <v>113</v>
      </c>
    </row>
    <row r="34" spans="3:3">
      <c r="C34" s="7"/>
    </row>
    <row r="35" spans="3:3">
      <c r="C35" s="8" t="s">
        <v>114</v>
      </c>
    </row>
    <row r="36" spans="3:3">
      <c r="C36" s="7"/>
    </row>
    <row r="37" spans="3:3">
      <c r="C37" s="8" t="s">
        <v>115</v>
      </c>
    </row>
    <row r="39" spans="3:3" ht="21">
      <c r="C39" s="4" t="s">
        <v>116</v>
      </c>
    </row>
    <row r="40" spans="3:3">
      <c r="C40" s="7"/>
    </row>
    <row r="41" spans="3:3">
      <c r="C41" s="8" t="s">
        <v>117</v>
      </c>
    </row>
    <row r="42" spans="3:3">
      <c r="C42" s="7"/>
    </row>
    <row r="43" spans="3:3">
      <c r="C43" s="8" t="s">
        <v>118</v>
      </c>
    </row>
    <row r="44" spans="3:3">
      <c r="C44" s="7"/>
    </row>
    <row r="45" spans="3:3">
      <c r="C45" s="8" t="s">
        <v>119</v>
      </c>
    </row>
    <row r="46" spans="3:3">
      <c r="C46" s="7"/>
    </row>
    <row r="47" spans="3:3">
      <c r="C47" s="7" t="s">
        <v>120</v>
      </c>
    </row>
    <row r="48" spans="3:3">
      <c r="C48" s="7"/>
    </row>
    <row r="49" spans="3:3">
      <c r="C49" s="8" t="s">
        <v>121</v>
      </c>
    </row>
    <row r="50" spans="3:3">
      <c r="C50" s="7"/>
    </row>
    <row r="51" spans="3:3">
      <c r="C51" s="8" t="s">
        <v>122</v>
      </c>
    </row>
    <row r="52" spans="3:3">
      <c r="C52" s="7"/>
    </row>
    <row r="53" spans="3:3">
      <c r="C53" s="8" t="s">
        <v>123</v>
      </c>
    </row>
    <row r="54" spans="3:3">
      <c r="C54" s="7"/>
    </row>
    <row r="55" spans="3:3">
      <c r="C55" s="8" t="s">
        <v>124</v>
      </c>
    </row>
    <row r="56" spans="3:3">
      <c r="C56" s="7"/>
    </row>
    <row r="57" spans="3:3">
      <c r="C57" s="8" t="s">
        <v>125</v>
      </c>
    </row>
    <row r="58" spans="3:3">
      <c r="C58" s="7"/>
    </row>
    <row r="59" spans="3:3">
      <c r="C59" s="8" t="s">
        <v>126</v>
      </c>
    </row>
    <row r="60" spans="3:3">
      <c r="C60" s="7"/>
    </row>
    <row r="61" spans="3:3">
      <c r="C61" s="8" t="s">
        <v>127</v>
      </c>
    </row>
    <row r="63" spans="3:3" ht="21">
      <c r="C63" s="4" t="s">
        <v>128</v>
      </c>
    </row>
    <row r="64" spans="3:3">
      <c r="C64" s="7"/>
    </row>
    <row r="65" spans="3:3">
      <c r="C65" s="8" t="s">
        <v>129</v>
      </c>
    </row>
    <row r="66" spans="3:3">
      <c r="C66" s="7"/>
    </row>
    <row r="67" spans="3:3">
      <c r="C67" s="8" t="s">
        <v>130</v>
      </c>
    </row>
    <row r="68" spans="3:3">
      <c r="C68" s="7"/>
    </row>
    <row r="69" spans="3:3">
      <c r="C69" s="8" t="s">
        <v>131</v>
      </c>
    </row>
    <row r="70" spans="3:3">
      <c r="C70" s="7"/>
    </row>
    <row r="71" spans="3:3">
      <c r="C71" s="8" t="s">
        <v>132</v>
      </c>
    </row>
    <row r="72" spans="3:3">
      <c r="C72" s="7"/>
    </row>
    <row r="73" spans="3:3">
      <c r="C73" s="8" t="s">
        <v>133</v>
      </c>
    </row>
    <row r="74" spans="3:3">
      <c r="C74" s="7"/>
    </row>
    <row r="75" spans="3:3">
      <c r="C75" s="8" t="s">
        <v>134</v>
      </c>
    </row>
    <row r="76" spans="3:3">
      <c r="C76" s="7"/>
    </row>
    <row r="77" spans="3:3">
      <c r="C77" s="8" t="s">
        <v>135</v>
      </c>
    </row>
    <row r="78" spans="3:3">
      <c r="C78" s="7"/>
    </row>
    <row r="79" spans="3:3">
      <c r="C79" s="8" t="s">
        <v>136</v>
      </c>
    </row>
    <row r="80" spans="3:3">
      <c r="C80" s="7"/>
    </row>
    <row r="81" spans="2:3">
      <c r="C81" s="8" t="s">
        <v>137</v>
      </c>
    </row>
    <row r="82" spans="2:3">
      <c r="C82" s="7"/>
    </row>
    <row r="83" spans="2:3">
      <c r="B83" t="s">
        <v>139</v>
      </c>
      <c r="C83" s="8" t="s">
        <v>138</v>
      </c>
    </row>
  </sheetData>
  <phoneticPr fontId="1"/>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pageSetup paperSize="9" orientation="portrait" r:id="rId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614D2-9BE2-4DBF-BE3B-CC381AB3F591}">
  <dimension ref="B4:D4"/>
  <sheetViews>
    <sheetView workbookViewId="0">
      <selection activeCell="C5" sqref="C5"/>
    </sheetView>
  </sheetViews>
  <sheetFormatPr defaultRowHeight="13.5"/>
  <cols>
    <col min="2" max="2" width="10.5" bestFit="1" customWidth="1"/>
    <col min="3" max="3" width="30.625" bestFit="1" customWidth="1"/>
    <col min="4" max="4" width="4.5" bestFit="1" customWidth="1"/>
  </cols>
  <sheetData>
    <row r="4" spans="2:4">
      <c r="B4" s="1">
        <v>45776</v>
      </c>
      <c r="C4" t="s">
        <v>253</v>
      </c>
      <c r="D4">
        <v>261</v>
      </c>
    </row>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20</vt:i4>
      </vt:variant>
    </vt:vector>
  </HeadingPairs>
  <TitlesOfParts>
    <vt:vector size="20" baseType="lpstr">
      <vt:lpstr>よく使うこまんど</vt:lpstr>
      <vt:lpstr>AI連携</vt:lpstr>
      <vt:lpstr>vercel log</vt:lpstr>
      <vt:lpstr>ToDo</vt:lpstr>
      <vt:lpstr>開発ToDo</vt:lpstr>
      <vt:lpstr>プロンプト</vt:lpstr>
      <vt:lpstr>Cursor</vt:lpstr>
      <vt:lpstr>AI-CICD</vt:lpstr>
      <vt:lpstr>ファイル整理</vt:lpstr>
      <vt:lpstr>コンポーネント改善</vt:lpstr>
      <vt:lpstr>エラー修正</vt:lpstr>
      <vt:lpstr>ChatGPT活動記録</vt:lpstr>
      <vt:lpstr>活動記録</vt:lpstr>
      <vt:lpstr>ADHD</vt:lpstr>
      <vt:lpstr>メモ管理</vt:lpstr>
      <vt:lpstr>Claude</vt:lpstr>
      <vt:lpstr>VSCodeExtension</vt:lpstr>
      <vt:lpstr>開発環境</vt:lpstr>
      <vt:lpstr>コンポーネント分割案</vt:lpstr>
      <vt:lpstr>コンポーネント分割</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寛太 梅澤</cp:lastModifiedBy>
  <dcterms:created xsi:type="dcterms:W3CDTF">2025-05-01T07:58:06Z</dcterms:created>
  <dcterms:modified xsi:type="dcterms:W3CDTF">2025-06-06T20:20:35Z</dcterms:modified>
</cp:coreProperties>
</file>