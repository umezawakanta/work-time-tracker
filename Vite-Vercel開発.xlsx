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F7473631-4373-4BCC-8E39-9C6E38F81362}" xr6:coauthVersionLast="47" xr6:coauthVersionMax="47" xr10:uidLastSave="{00000000-0000-0000-0000-000000000000}"/>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ルーチン" sheetId="22" r:id="rId10"/>
    <sheet name="コンポーネント改善" sheetId="17" r:id="rId11"/>
    <sheet name="エラー修正" sheetId="16" r:id="rId12"/>
    <sheet name="ChatGPT活動記録" sheetId="13" r:id="rId13"/>
    <sheet name="活動記録" sheetId="12" r:id="rId14"/>
    <sheet name="ADHD" sheetId="14" r:id="rId15"/>
    <sheet name="メモ管理" sheetId="15" r:id="rId16"/>
    <sheet name="Claude" sheetId="18" r:id="rId17"/>
    <sheet name="VSCodeExtension" sheetId="6" r:id="rId18"/>
    <sheet name="開発環境" sheetId="3" r:id="rId19"/>
    <sheet name="コンポーネント分割案" sheetId="4" r:id="rId20"/>
    <sheet name="コンポーネント分割" sheetId="10" r:id="rId2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2" l="1"/>
  <c r="B6" i="22"/>
  <c r="B7" i="22"/>
  <c r="B8" i="22" s="1"/>
  <c r="B9" i="22" s="1"/>
  <c r="B10" i="22" s="1"/>
  <c r="B11" i="22" s="1"/>
  <c r="B12" i="22" s="1"/>
  <c r="B13" i="22" s="1"/>
  <c r="B14" i="22" s="1"/>
  <c r="B15" i="22" s="1"/>
  <c r="B16" i="22" s="1"/>
  <c r="B17" i="22" s="1"/>
  <c r="B18" i="22" s="1"/>
  <c r="B19" i="22" s="1"/>
  <c r="B20" i="22" s="1"/>
  <c r="B21" i="22" s="1"/>
  <c r="B22" i="22" s="1"/>
  <c r="B23" i="22" s="1"/>
  <c r="B24" i="22" s="1"/>
  <c r="B25" i="22" s="1"/>
  <c r="B26" i="22" s="1"/>
  <c r="B27" i="22" s="1"/>
  <c r="B28" i="22" s="1"/>
  <c r="B29" i="22" s="1"/>
  <c r="B30" i="22" s="1"/>
  <c r="B31" i="22" s="1"/>
  <c r="B32" i="22" s="1"/>
  <c r="B33" i="22" s="1"/>
  <c r="B4" i="22"/>
  <c r="D371" i="19"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<sst xmlns="http://schemas.openxmlformats.org/spreadsheetml/2006/main" count="1705" uniqueCount="1066">
  <si>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</si>
  <si>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</si>
  <si>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</si>
  <si>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</si>
  <si>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</si>
  <si>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</si>
  <si>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</si>
  <si>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</si>
  <si>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</si>
  <si>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</si>
  <si>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</si>
  <si>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</si>
  <si>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</si>
  <si>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</si>
  <si>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</si>
  <si>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</si>
  <si>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</si>
  <si>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</si>
  <si>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</si>
  <si>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</si>
  <si>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</si>
  <si>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</si>
  <si>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</si>
  <si>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</si>
  <si>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</si>
  <si>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</si>
  <si>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</si>
  <si>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</si>
  <si>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</si>
  <si>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</si>
  <si>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</si>
  <si>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</si>
  <si>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</si>
  <si>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</si>
  <si>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</si>
  <si>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</si>
  <si>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</si>
  <si>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</si>
  <si>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</si>
  <si>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</si>
  <si>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</si>
  <si>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</si>
  <si>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</si>
  <si>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</si>
  <si>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</si>
  <si>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</si>
  <si>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</si>
  <si>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</si>
  <si>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</si>
  <si>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</si>
  <si>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</si>
  <si>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</si>
  <si>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</si>
  <si>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</si>
  <si>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</si>
  <si>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</si>
  <si>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</si>
  <si>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</si>
  <si>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</si>
  <si>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</si>
  <si>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</si>
  <si>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</si>
  <si>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</si>
  <si>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</si>
  <si>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</si>
  <si>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</si>
  <si>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</si>
  <si>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</si>
  <si>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</si>
  <si>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</si>
  <si>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</si>
  <si>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</si>
  <si>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</si>
  <si>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</si>
  <si>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</si>
  <si>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</si>
  <si>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</si>
  <si>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</si>
  <si>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</si>
  <si>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</si>
  <si>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</si>
  <si>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</si>
  <si>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</si>
  <si>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</si>
  <si>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</si>
  <si>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</si>
  <si>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</si>
  <si>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</si>
  <si>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</si>
  <si>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</si>
  <si>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</si>
  <si>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</si>
  <si>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</si>
  <si>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</si>
  <si>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</si>
  <si>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</si>
  <si>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</si>
  <si>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</si>
  <si>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</si>
  <si>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</si>
  <si>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</si>
  <si>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</si>
  <si>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</si>
  <si>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</si>
  <si>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</si>
  <si>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</si>
  <si>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</si>
  <si>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</si>
  <si>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</si>
  <si>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</si>
  <si>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</si>
  <si>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</si>
  <si>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</si>
  <si>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</si>
  <si>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</si>
  <si>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</si>
  <si>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</si>
  <si>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</si>
  <si>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</si>
  <si>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</si>
  <si>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</si>
  <si>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</si>
  <si>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</si>
  <si>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</si>
  <si>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</si>
  <si>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</si>
  <si>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</si>
  <si>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</si>
  <si>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</si>
  <si>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</si>
  <si>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</si>
  <si>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</si>
  <si>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</si>
  <si>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</si>
  <si>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</si>
  <si>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</si>
  <si>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</si>
  <si>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</si>
  <si>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</si>
  <si>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</si>
  <si>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</si>
  <si>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</si>
  <si>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</si>
  <si>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</si>
  <si>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</si>
  <si>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</si>
  <si>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</si>
  <si>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</si>
  <si>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</si>
  <si>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</si>
  <si>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</si>
  <si>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</si>
  <si>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</si>
  <si>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</si>
  <si>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</si>
  <si>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</si>
  <si>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</si>
  <si>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</si>
  <si>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</si>
  <si>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</si>
  <si>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</si>
  <si>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</si>
  <si>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</si>
  <si>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</si>
  <si>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</si>
  <si>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</si>
  <si>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</si>
  <si>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</si>
  <si>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</si>
  <si>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</si>
  <si>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</si>
  <si>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</si>
  <si>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</si>
  <si>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</si>
  <si>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</si>
  <si>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</si>
  <si>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</si>
  <si>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</si>
  <si>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</si>
  <si>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</si>
  <si>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</si>
  <si>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</si>
  <si>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</si>
  <si>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</si>
  <si>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</si>
  <si>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</si>
  <si>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</si>
  <si>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</si>
  <si>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</si>
  <si>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</si>
  <si>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</si>
  <si>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</si>
  <si>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</si>
  <si>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</si>
  <si>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</si>
  <si>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</si>
  <si>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</si>
  <si>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</si>
  <si>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</si>
  <si>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</si>
  <si>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</si>
  <si>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</si>
  <si>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</si>
  <si>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</si>
  <si>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</si>
  <si>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</si>
  <si>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</si>
  <si>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</si>
  <si>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</si>
  <si>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</si>
  <si>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</si>
  <si>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</si>
  <si>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</si>
  <si>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</si>
  <si>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</si>
  <si>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</si>
  <si>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</si>
  <si>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</si>
  <si>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</si>
  <si>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</si>
  <si>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</si>
  <si>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</si>
  <si>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</si>
  <si>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</si>
  <si>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</si>
  <si>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</si>
  <si>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</si>
  <si>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</si>
  <si>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</si>
  <si>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</si>
  <si>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</si>
  <si>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</si>
  <si>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</si>
  <si>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</si>
  <si>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</si>
  <si>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</si>
  <si>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</si>
  <si>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</si>
  <si>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</si>
  <si>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</si>
  <si>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</si>
  <si>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</si>
  <si>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</si>
  <si>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</si>
  <si>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</si>
  <si>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</si>
  <si>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</si>
  <si>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</si>
  <si>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</si>
  <si>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</si>
  <si>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</si>
  <si>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</si>
  <si>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</si>
  <si>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</si>
  <si>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</si>
  <si>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</si>
  <si>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</si>
  <si>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</si>
  <si>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</si>
  <si>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</si>
  <si>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</si>
  <si>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</si>
  <si>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</si>
  <si>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</si>
  <si>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</si>
  <si>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</si>
  <si>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</si>
  <si>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</si>
  <si>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</si>
  <si>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</si>
  <si>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</si>
  <si>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</si>
  <si>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</si>
  <si>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</si>
  <si>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</si>
  <si>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</si>
  <si>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</si>
  <si>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</si>
  <si>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</si>
  <si>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</si>
  <si>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</si>
  <si>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</si>
  <si>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</si>
  <si>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</si>
  <si>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</si>
  <si>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</si>
  <si>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</si>
  <si>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</si>
  <si>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</si>
  <si>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</si>
  <si>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</si>
  <si>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</si>
  <si>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</si>
  <si>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</si>
  <si>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</si>
  <si>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</si>
  <si>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</si>
  <si>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</si>
  <si>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</si>
  <si>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</si>
  <si>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</si>
  <si>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</si>
  <si>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</si>
  <si>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</si>
  <si>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</si>
  <si>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</si>
  <si>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</si>
  <si>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</si>
  <si>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</si>
  <si>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</si>
  <si>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</si>
  <si>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</si>
  <si>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</si>
  <si>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</si>
  <si>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</si>
  <si>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</si>
  <si>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</si>
  <si>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</si>
  <si>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</si>
  <si>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</si>
  <si>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</si>
  <si>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</si>
  <si>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</si>
  <si>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</si>
  <si>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</si>
  <si>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</si>
  <si>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</si>
  <si>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</si>
  <si>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</si>
  <si>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</si>
  <si>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</si>
  <si>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</si>
  <si>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</si>
  <si>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</si>
  <si>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</si>
  <si>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</si>
  <si>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</si>
  <si>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</si>
  <si>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</si>
  <si>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</si>
  <si>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</si>
  <si>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</si>
  <si>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</si>
  <si>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</si>
  <si>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</si>
  <si>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</si>
  <si>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</si>
  <si>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</si>
  <si>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</si>
  <si>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</si>
  <si>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</si>
  <si>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</si>
  <si>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</si>
  <si>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</si>
  <si>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</si>
  <si>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</si>
  <si>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</si>
  <si>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</si>
  <si>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</si>
  <si>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</si>
  <si>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</si>
  <si>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</si>
  <si>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</si>
  <si>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</si>
  <si>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</si>
  <si>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</si>
  <si>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</si>
  <si>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</si>
  <si>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</si>
  <si>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</si>
  <si>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</si>
  <si>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</si>
  <si>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</si>
  <si>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</si>
  <si>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</si>
  <si>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</si>
  <si>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</si>
  <si>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</si>
  <si>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</si>
  <si>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</si>
  <si>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</si>
  <si>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</si>
  <si>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</si>
  <si>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</si>
  <si>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</si>
  <si>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</si>
  <si>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</si>
  <si>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</si>
  <si>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</si>
  <si>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</si>
  <si>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</si>
  <si>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</si>
  <si>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</si>
  <si>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</si>
  <si>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</si>
  <si>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</si>
  <si>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</si>
  <si>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</si>
  <si>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</si>
  <si>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</si>
  <si>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</si>
  <si>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</si>
  <si>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</si>
  <si>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</si>
  <si>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</si>
  <si>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</si>
  <si>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</si>
  <si>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</si>
  <si>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</si>
  <si>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</si>
  <si>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</si>
  <si>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</si>
  <si>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</si>
  <si>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</si>
  <si>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</si>
  <si>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</si>
  <si>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</si>
  <si>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</si>
  <si>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</si>
  <si>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</si>
  <si>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</si>
  <si>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</si>
  <si>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</si>
  <si>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</si>
  <si>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</si>
  <si>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</si>
  <si>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</si>
  <si>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</si>
  <si>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</si>
  <si>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</si>
  <si>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</si>
  <si>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</si>
  <si>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</si>
  <si>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</si>
  <si>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</si>
  <si>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</si>
  <si>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</si>
  <si>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</si>
  <si>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</si>
  <si>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</si>
  <si>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</si>
  <si>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</si>
  <si>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</si>
  <si>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</si>
  <si>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</si>
  <si>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</si>
  <si>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</si>
  <si>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</si>
  <si>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</si>
  <si>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</si>
  <si>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</si>
  <si>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</si>
  <si>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</si>
  <si>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</si>
  <si>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</si>
  <si>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</si>
  <si>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</si>
  <si>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</si>
  <si>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</si>
  <si>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</si>
  <si>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</si>
  <si>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</si>
  <si>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</si>
  <si>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</si>
  <si>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</si>
  <si>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</si>
  <si>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</si>
  <si>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</si>
  <si>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</si>
  <si>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</si>
  <si>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</si>
  <si>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</si>
  <si>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</si>
  <si>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</si>
  <si>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</si>
  <si>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</si>
  <si>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</si>
  <si>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</si>
  <si>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</si>
  <si>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</si>
  <si>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</si>
  <si>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</si>
  <si>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</si>
  <si>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</si>
  <si>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</si>
  <si>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</si>
  <si>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</si>
  <si>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</si>
  <si>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</si>
  <si>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</si>
  <si>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</si>
  <si>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</si>
  <si>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</si>
  <si>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</si>
  <si>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</si>
  <si>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</si>
  <si>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</si>
  <si>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</si>
  <si>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</si>
  <si>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</si>
  <si>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</si>
  <si>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</si>
  <si>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</si>
  <si>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</si>
  <si>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</si>
  <si>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</si>
  <si>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</si>
  <si>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</si>
  <si>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</si>
  <si>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</si>
  <si>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</si>
  <si>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</si>
  <si>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</si>
  <si>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</si>
  <si>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</si>
  <si>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</si>
  <si>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</si>
  <si>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</si>
  <si>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</si>
  <si>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</si>
  <si>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</si>
  <si>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</si>
  <si>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</si>
  <si>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</si>
  <si>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</si>
  <si>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</si>
  <si>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</si>
  <si>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</si>
  <si>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</si>
  <si>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</si>
  <si>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</si>
  <si>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</si>
  <si>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</si>
  <si>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</si>
  <si>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</si>
  <si>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</si>
  <si>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</si>
  <si>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</si>
  <si>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</si>
  <si>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</si>
  <si>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</si>
  <si>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</si>
  <si>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</si>
  <si>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</si>
  <si>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</si>
  <si>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</si>
  <si>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</si>
  <si>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</si>
  <si>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</si>
  <si>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</si>
  <si>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</si>
  <si>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</si>
  <si>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</si>
  <si>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</si>
  <si>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</si>
  <si>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</si>
  <si>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</si>
  <si>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</si>
  <si>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</si>
  <si>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</si>
  <si>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</si>
  <si>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</si>
  <si>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</si>
  <si>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</si>
  <si>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</si>
  <si>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</si>
  <si>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</si>
  <si>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</si>
  <si>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</si>
  <si>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</si>
  <si>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</si>
  <si>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</si>
  <si>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</si>
  <si>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</si>
  <si>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</si>
  <si>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</si>
  <si>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</si>
  <si>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</si>
  <si>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</si>
  <si>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</si>
  <si>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</si>
  <si>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</si>
  <si>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</si>
  <si>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</si>
  <si>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</si>
  <si>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</si>
  <si>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</si>
  <si>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</si>
  <si>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</si>
  <si>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</si>
  <si>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</si>
  <si>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</si>
  <si>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</si>
  <si>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</si>
  <si>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</si>
  <si>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</si>
  <si>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</si>
  <si>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</si>
  <si>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</si>
  <si>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</si>
  <si>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</si>
  <si>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</si>
  <si>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</si>
  <si>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</si>
  <si>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</si>
  <si>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</si>
  <si>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</si>
  <si>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</si>
  <si>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</si>
  <si>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</si>
  <si>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</si>
  <si>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</si>
  <si>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</si>
  <si>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</si>
  <si>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</si>
  <si>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</si>
  <si>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</si>
  <si>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</si>
  <si>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</si>
  <si>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</si>
  <si>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</si>
  <si>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</si>
  <si>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</si>
  <si>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</si>
  <si>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</si>
  <si>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</si>
  <si>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</si>
  <si>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</si>
  <si>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</si>
  <si>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</si>
  <si>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</si>
  <si>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</si>
  <si>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</si>
  <si>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</si>
  <si>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</si>
  <si>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</si>
  <si>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</si>
  <si>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</si>
  <si>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</si>
  <si>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</si>
  <si>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</si>
  <si>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</si>
  <si>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</si>
  <si>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</si>
  <si>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</si>
  <si>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</si>
  <si>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</si>
  <si>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</si>
  <si>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</si>
  <si>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</si>
  <si>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</si>
  <si>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</si>
  <si>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</si>
  <si>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</si>
  <si>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</si>
  <si>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</si>
  <si>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</si>
  <si>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</si>
  <si>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</si>
  <si>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</si>
  <si>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</si>
  <si>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</si>
  <si>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</si>
  <si>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</si>
  <si>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</si>
  <si>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</si>
  <si>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</si>
  <si>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</si>
  <si>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</si>
  <si>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</si>
  <si>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</si>
  <si>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</si>
  <si>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</si>
  <si>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</si>
  <si>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</si>
  <si>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</si>
  <si>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</si>
  <si>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</si>
  <si>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</si>
  <si>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</si>
  <si>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</si>
  <si>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</si>
  <si>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</si>
  <si>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</si>
  <si>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</si>
  <si>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</si>
  <si>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</si>
  <si>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</si>
  <si>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</si>
  <si>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</si>
  <si>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</si>
  <si>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</si>
  <si>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</si>
  <si>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</si>
  <si>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</si>
  <si>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</si>
  <si>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</si>
  <si>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</si>
  <si>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</si>
  <si>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</si>
  <si>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</si>
  <si>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</si>
  <si>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</si>
  <si>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</si>
  <si>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</si>
  <si>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</si>
  <si>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</si>
  <si>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</si>
  <si>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</si>
  <si>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</si>
  <si>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</si>
  <si>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</si>
  <si>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</si>
  <si>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</si>
  <si>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</si>
  <si>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</si>
  <si>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</si>
  <si>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</si>
  <si>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</si>
  <si>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</si>
  <si>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</si>
  <si>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</si>
  <si>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</si>
  <si>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</si>
  <si>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</si>
  <si>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</si>
  <si>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</si>
  <si>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</si>
  <si>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</si>
  <si>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</si>
  <si>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</si>
  <si>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</si>
  <si>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</si>
  <si>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</si>
  <si>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</si>
  <si>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</si>
  <si>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</si>
  <si>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</si>
  <si>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</si>
  <si>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</si>
  <si>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</si>
  <si>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</si>
  <si>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</si>
  <si>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</si>
  <si>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</si>
  <si>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</si>
  <si>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</si>
  <si>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</si>
  <si>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</si>
  <si>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</si>
  <si>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</si>
  <si>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</si>
  <si>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</si>
  <si>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</si>
  <si>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</si>
  <si>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</si>
  <si>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</si>
  <si>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</si>
  <si>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</si>
  <si>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</si>
  <si>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</si>
  <si>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</si>
  <si>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</si>
  <si>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</si>
  <si>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</si>
  <si>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</si>
  <si>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</si>
  <si>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</si>
  <si>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</si>
  <si>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</si>
  <si>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</si>
  <si>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</si>
  <si>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</si>
  <si>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</si>
  <si>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</si>
  <si>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</si>
  <si>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</si>
  <si>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</si>
  <si>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</si>
  <si>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</si>
  <si>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</si>
  <si>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</si>
  <si>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</si>
  <si>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</si>
  <si>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</si>
  <si>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</si>
  <si>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</si>
  <si>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</si>
  <si>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</si>
  <si>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</si>
  <si>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</si>
  <si>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</si>
  <si>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</si>
  <si>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</si>
  <si>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</si>
  <si>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</si>
  <si>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</si>
  <si>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</si>
  <si>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</si>
  <si>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</si>
  <si>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</si>
  <si>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</si>
  <si>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</si>
  <si>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</si>
  <si>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</si>
  <si>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</si>
  <si>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</si>
  <si>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</si>
  <si>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</si>
  <si>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</si>
  <si>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</si>
  <si>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</si>
  <si>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</si>
  <si>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</si>
  <si>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</si>
  <si>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</si>
  <si>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</si>
  <si>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</si>
  <si>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</si>
  <si>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</si>
  <si>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</si>
  <si>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</si>
  <si>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</si>
  <si>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</si>
  <si>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</si>
  <si>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</si>
  <si>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</si>
  <si>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</si>
  <si>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</si>
  <si>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</si>
  <si>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</si>
  <si>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</si>
  <si>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</si>
  <si>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</si>
  <si>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</si>
  <si>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</si>
  <si>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</si>
  <si>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</si>
  <si>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</si>
  <si>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</si>
  <si>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</si>
  <si>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</si>
  <si>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</si>
  <si>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</si>
  <si>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</si>
  <si>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</si>
  <si>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</si>
  <si>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</si>
  <si>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</si>
  <si>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</si>
  <si>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</si>
  <si>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</si>
  <si>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</si>
  <si>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</si>
  <si>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</si>
  <si>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</si>
  <si>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</si>
  <si>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</si>
  <si>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</si>
  <si>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</si>
  <si>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</si>
  <si>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</si>
  <si>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</si>
  <si>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</si>
  <si>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</si>
  <si>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</si>
  <si>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</si>
  <si>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</si>
  <si>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</si>
  <si>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</si>
  <si>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</si>
  <si>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</si>
  <si>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</si>
  <si>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</si>
  <si>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</si>
  <si>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</si>
  <si>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</si>
  <si>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</si>
  <si>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</si>
  <si>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</si>
  <si>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</si>
  <si>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</si>
  <si>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</si>
  <si>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</si>
  <si>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</si>
  <si>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</si>
  <si>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</si>
  <si>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</si>
  <si>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</si>
  <si>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</si>
  <si>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</si>
  <si>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</si>
  <si>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</si>
  <si>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</si>
  <si>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</si>
  <si>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</si>
  <si>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</si>
  <si>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</si>
  <si>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</si>
  <si>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</si>
  <si>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</si>
  <si>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</si>
  <si>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</si>
  <si>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</si>
  <si>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</si>
  <si>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</si>
  <si>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</si>
  <si>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</si>
  <si>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</si>
  <si>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</si>
  <si>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</si>
  <si>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</si>
  <si>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</si>
  <si>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</si>
  <si>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</si>
  <si>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</si>
  <si>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</si>
  <si>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</si>
  <si>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</si>
  <si>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</si>
  <si>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</si>
  <si>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</si>
  <si>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</si>
  <si>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</si>
  <si>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</si>
  <si>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</si>
  <si>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</si>
  <si>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</si>
  <si>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</si>
  <si>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</si>
  <si>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</si>
  <si>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</si>
  <si>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</si>
  <si>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</si>
  <si>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</si>
  <si>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</si>
  <si>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</si>
  <si>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</si>
  <si>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</si>
  <si>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</si>
  <si>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</si>
  <si>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</si>
  <si>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</si>
  <si>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</si>
  <si>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</si>
  <si>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</si>
  <si>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</si>
  <si>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</si>
  <si>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</si>
  <si>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</si>
  <si>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</si>
  <si>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</si>
  <si>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</si>
  <si>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</si>
  <si>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</si>
  <si>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</si>
  <si>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</si>
  <si>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</si>
  <si>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</si>
  <si>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</si>
  <si>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</si>
  <si>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</si>
  <si>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</si>
  <si>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</si>
  <si>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</si>
  <si>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</si>
  <si>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</si>
  <si>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</si>
  <si>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</si>
  <si>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</si>
  <si>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</si>
  <si>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</si>
  <si>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</si>
  <si>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</si>
  <si>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</si>
  <si>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</si>
  <si>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</si>
  <si>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</si>
  <si>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</si>
  <si>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</si>
  <si>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</si>
  <si>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</si>
  <si>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</si>
  <si>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</si>
  <si>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</si>
  <si>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</si>
  <si>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</si>
  <si>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</si>
  <si>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</si>
  <si>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</si>
  <si>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</si>
  <si>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</si>
  <si>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</si>
  <si>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</si>
  <si>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</si>
  <si>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</si>
  <si>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</si>
  <si>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</si>
  <si>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</si>
  <si>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</si>
  <si>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</si>
  <si>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</si>
  <si>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</si>
  <si>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</si>
  <si>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</si>
  <si>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</si>
  <si>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</si>
  <si>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</si>
  <si>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</si>
  <si>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</si>
  <si>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</si>
  <si>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</si>
  <si>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</si>
  <si>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</si>
  <si>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</si>
  <si>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</si>
  <si>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</si>
  <si>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</si>
  <si>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</si>
  <si>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</si>
  <si>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</si>
  <si>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</si>
  <si>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</si>
  <si>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</si>
  <si>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</si>
  <si>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</si>
  <si>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</si>
  <si>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</si>
  <si>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</si>
  <si>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</si>
  <si>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</si>
  <si>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</si>
  <si>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</si>
  <si>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</si>
  <si>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</si>
  <si>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</si>
  <si>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</si>
  <si>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</si>
  <si>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</si>
  <si>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</si>
  <si>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</si>
  <si>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</si>
  <si>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</si>
  <si>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</si>
  <si>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</si>
  <si>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</si>
  <si>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</si>
  <si>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</si>
  <si>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</si>
  <si>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</si>
  <si>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</si>
  <si>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</si>
  <si>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</si>
  <si>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</si>
  <si>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</si>
  <si>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</si>
  <si>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</si>
  <si>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</si>
  <si>
    <t>ファイル整理</t>
    <rPh sb="4" eb="6">
      <t>セイリ</t>
    </rPh>
    <phoneticPr fontId="1"/>
  </si>
  <si>
    <t>ワーニング修正</t>
    <rPh sb="5" eb="7">
      <t>シュウセイ</t>
    </rPh>
    <phoneticPr fontId="1"/>
  </si>
  <si>
    <t>WBS</t>
    <phoneticPr fontId="1"/>
  </si>
  <si>
    <t>api\auth\check.ts</t>
    <phoneticPr fontId="1"/>
  </si>
  <si>
    <t>現在の処理内容の解説
このファイルは 認証状態チェック用のVercel API エンドポイント で、以下の処理を行っています：
1. CORS設定（8-25行目）
許可されたオリジンの設定（localhost + Vercel deployments）
プリフライトリクエストの処理
Vercelプレビューデプロイメントの動的許可
2. 認証処理（32-89行目）
Authorizationヘッダーからトークンを抽出
トークンの基本的な形式チェック（auth_token_ または demo_token_ で開始）
長さ検証（最低20文字）
3. レスポンス生成（90-103行目）
デモ用のユーザー情報を返却
認証成功時の統一レスポンス形式
改善提案
以下のような改善を行って、型安全性、セキュリティ、保守性を向上させます：</t>
    <phoneticPr fontId="1"/>
  </si>
  <si>
    <t>主な改善点
1. 型安全性の向上
レスポンス型の明示的定義
関数パラメータとレターン値の型指定
2. コードの構造化
責任の分離（CORS、トークン検証、ユーザー生成を個別関数化）
単一責任の原則に準拠
3. 環境変数の活用
VERCEL_URLを使用した動的オリジン設定
ハードコードの削減
4. セキュリティの強化
より厳密なトークン検証
トークン構造のチェック追加
5. エラーハンドリングの改善
より具体的なエラーメッセージ
一貫したエラーレスポンス形式
6. 保守性の向上
関数の分離により テスタビリティが向上
コードの可読性向上
この改善により、TypeScriptのstrictモード、React best practices、セキュリティ要件に準拠した、より堅牢で保守しやすいコードになります。</t>
    <phoneticPr fontId="1"/>
  </si>
  <si>
    <t>動作不備修正</t>
    <rPh sb="0" eb="2">
      <t>ドウサ</t>
    </rPh>
    <rPh sb="2" eb="4">
      <t>フビ</t>
    </rPh>
    <rPh sb="4" eb="6">
      <t>シュウセイ</t>
    </rPh>
    <phoneticPr fontId="1"/>
  </si>
  <si>
    <t>不具合対応</t>
    <rPh sb="0" eb="3">
      <t>フグアイ</t>
    </rPh>
    <rPh sb="3" eb="5">
      <t>タイオウ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</si>
</sst>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4">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Init"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5">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5"/>
  <sheetViews>
    <sheetView topLeftCell="C76" workbookViewId="0">
      <selection activeCell="C85" sqref="C85"/>
    </sheetView>
  </sheetViews>
  <sheetFormatPr defaultRowHeight="13.5"/>
  <cols>
    <col min="3" max="3" width="112.5" bestFit="1" customWidth="1"/>
    <col min="4" max="4" width="61.125" customWidth="1"/>
    <col min="5" max="5" width="109.125"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5">
      <c r="C81" t="s">
        <v>1054</v>
      </c>
    </row>
    <row r="83" spans="3:5">
      <c r="C83" t="s">
        <v>1055</v>
      </c>
    </row>
    <row r="85" spans="3:5" ht="270">
      <c r="C85" t="s">
        <v>1061</v>
      </c>
      <c r="D85" s="3" t="s">
        <v>1062</v>
      </c>
      <c r="E85" s="3" t="s">
        <v>1063</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9C8C9-7B8B-4E84-A3F3-17220E758578}">
  <dimension ref="B2:X33"/>
  <sheetViews>
    <sheetView tabSelected="1" workbookViewId="0">
      <selection activeCell="C8" sqref="C8"/>
    </sheetView>
  </sheetViews>
  <sheetFormatPr defaultRowHeight="13.5"/>
  <cols>
    <col min="3" max="3" width="14.125" bestFit="1" customWidth="1"/>
    <col min="4" max="4" width="16.5" bestFit="1" customWidth="1"/>
    <col min="5" max="24" width="10.5" bestFit="1" customWidth="1"/>
  </cols>
  <sheetData>
    <row r="2" spans="2:24">
      <c r="D2" s="1">
        <v>45818</v>
      </c>
      <c r="E2" s="1">
        <v>45819</v>
      </c>
      <c r="F2" s="1">
        <v>45820</v>
      </c>
      <c r="G2" s="1">
        <v>45821</v>
      </c>
      <c r="H2" s="1">
        <v>45822</v>
      </c>
      <c r="I2" s="1">
        <v>45823</v>
      </c>
      <c r="J2" s="1">
        <v>45824</v>
      </c>
      <c r="K2" s="1">
        <v>45825</v>
      </c>
      <c r="L2" s="1">
        <v>45826</v>
      </c>
      <c r="M2" s="1">
        <v>45827</v>
      </c>
      <c r="N2" s="1">
        <v>45828</v>
      </c>
      <c r="O2" s="1">
        <v>45829</v>
      </c>
      <c r="P2" s="1">
        <v>45830</v>
      </c>
      <c r="Q2" s="1">
        <v>45831</v>
      </c>
      <c r="R2" s="1">
        <v>45832</v>
      </c>
      <c r="S2" s="1">
        <v>45833</v>
      </c>
      <c r="T2" s="1">
        <v>45834</v>
      </c>
      <c r="U2" s="1">
        <v>45835</v>
      </c>
      <c r="V2" s="1">
        <v>45836</v>
      </c>
      <c r="W2" s="1">
        <v>45837</v>
      </c>
      <c r="X2" s="1">
        <v>45838</v>
      </c>
    </row>
    <row r="3" spans="2:24">
      <c r="B3">
        <v>1</v>
      </c>
      <c r="C3" t="s">
        <v>1058</v>
      </c>
      <c r="D3" t="s">
        <v>165</v>
      </c>
    </row>
    <row r="4" spans="2:24">
      <c r="B4">
        <f>B3+1</f>
        <v>2</v>
      </c>
      <c r="C4" t="s">
        <v>1059</v>
      </c>
      <c r="D4" t="s">
        <v>165</v>
      </c>
    </row>
    <row r="5" spans="2:24">
      <c r="B5">
        <f t="shared" ref="B5:B33" si="0">B4+1</f>
        <v>3</v>
      </c>
      <c r="C5" t="s">
        <v>1060</v>
      </c>
      <c r="D5" t="s">
        <v>165</v>
      </c>
    </row>
    <row r="6" spans="2:24">
      <c r="B6">
        <f t="shared" si="0"/>
        <v>4</v>
      </c>
      <c r="C6" t="s">
        <v>1064</v>
      </c>
    </row>
    <row r="7" spans="2:24">
      <c r="B7">
        <f t="shared" si="0"/>
        <v>5</v>
      </c>
      <c r="C7" t="s">
        <v>1065</v>
      </c>
    </row>
    <row r="8" spans="2:24">
      <c r="B8">
        <f t="shared" si="0"/>
        <v>6</v>
      </c>
    </row>
    <row r="9" spans="2:24">
      <c r="B9">
        <f t="shared" si="0"/>
        <v>7</v>
      </c>
    </row>
    <row r="10" spans="2:24">
      <c r="B10">
        <f t="shared" si="0"/>
        <v>8</v>
      </c>
    </row>
    <row r="11" spans="2:24">
      <c r="B11">
        <f t="shared" si="0"/>
        <v>9</v>
      </c>
    </row>
    <row r="12" spans="2:24">
      <c r="B12">
        <f t="shared" si="0"/>
        <v>10</v>
      </c>
    </row>
    <row r="13" spans="2:24">
      <c r="B13">
        <f t="shared" si="0"/>
        <v>11</v>
      </c>
    </row>
    <row r="14" spans="2:24">
      <c r="B14">
        <f t="shared" si="0"/>
        <v>12</v>
      </c>
    </row>
    <row r="15" spans="2:24">
      <c r="B15">
        <f t="shared" si="0"/>
        <v>13</v>
      </c>
    </row>
    <row r="16" spans="2:24">
      <c r="B16">
        <f t="shared" si="0"/>
        <v>14</v>
      </c>
    </row>
    <row r="17" spans="2:2">
      <c r="B17">
        <f t="shared" si="0"/>
        <v>15</v>
      </c>
    </row>
    <row r="18" spans="2:2">
      <c r="B18">
        <f t="shared" si="0"/>
        <v>16</v>
      </c>
    </row>
    <row r="19" spans="2:2">
      <c r="B19">
        <f t="shared" si="0"/>
        <v>17</v>
      </c>
    </row>
    <row r="20" spans="2:2">
      <c r="B20">
        <f t="shared" si="0"/>
        <v>18</v>
      </c>
    </row>
    <row r="21" spans="2:2">
      <c r="B21">
        <f t="shared" si="0"/>
        <v>19</v>
      </c>
    </row>
    <row r="22" spans="2:2">
      <c r="B22">
        <f t="shared" si="0"/>
        <v>20</v>
      </c>
    </row>
    <row r="23" spans="2:2">
      <c r="B23">
        <f t="shared" si="0"/>
        <v>21</v>
      </c>
    </row>
    <row r="24" spans="2:2">
      <c r="B24">
        <f t="shared" si="0"/>
        <v>22</v>
      </c>
    </row>
    <row r="25" spans="2:2">
      <c r="B25">
        <f t="shared" si="0"/>
        <v>23</v>
      </c>
    </row>
    <row r="26" spans="2:2">
      <c r="B26">
        <f t="shared" si="0"/>
        <v>24</v>
      </c>
    </row>
    <row r="27" spans="2:2">
      <c r="B27">
        <f t="shared" si="0"/>
        <v>25</v>
      </c>
    </row>
    <row r="28" spans="2:2">
      <c r="B28">
        <f t="shared" si="0"/>
        <v>26</v>
      </c>
    </row>
    <row r="29" spans="2:2">
      <c r="B29">
        <f t="shared" si="0"/>
        <v>27</v>
      </c>
    </row>
    <row r="30" spans="2:2">
      <c r="B30">
        <f t="shared" si="0"/>
        <v>28</v>
      </c>
    </row>
    <row r="31" spans="2:2">
      <c r="B31">
        <f t="shared" si="0"/>
        <v>29</v>
      </c>
    </row>
    <row r="32" spans="2:2">
      <c r="B32">
        <f t="shared" si="0"/>
        <v>30</v>
      </c>
    </row>
    <row r="33" spans="2:2">
      <c r="B33">
        <f t="shared" si="0"/>
        <v>31</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324">
      <c r="D4" s="3" t="s">
        <v>607</v>
      </c>
      <c r="E4" s="3" t="s">
        <v>608</v>
      </c>
    </row>
    <row r="5" spans="2:5" ht="40.5">
      <c r="D5" s="3" t="s">
        <v>607</v>
      </c>
    </row>
    <row r="6" spans="2:5" ht="243">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04:35</v>
      </c>
      <c r="B2" s="19"/>
      <c r="D2" s="1">
        <f ca="1">TODAY()</f>
        <v>45819</v>
      </c>
    </row>
    <row r="3" spans="1:65">
      <c r="A3" s="19" t="str">
        <f ca="1">TEXT(NOW(),"HH:mm")</f>
        <v>04:38</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04:35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04:35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04:35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04:35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04:35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04:35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04:35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04:35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04:35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04:35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04:35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04:35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04:35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04:35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04:35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04:35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04:35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04:35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04:35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04:35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04:35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04:35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04:35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04:35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04:35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04:35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04:35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04:35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04:35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04:35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04:35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04:35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04:35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04:35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04:35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04:35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04:35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04:35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04:35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04:35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04:35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04:35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04:35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04:35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04:35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04:35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04:35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04:35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04:35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04:35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04:35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04:35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04:35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04:35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04:35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04:35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04:35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04:35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04:35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04:35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04:35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04:35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04:35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04:35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04:35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04:35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04:35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04:35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04:35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04:35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04:35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04:35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04:35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04:35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04:35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04:35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04:35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04:35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04:35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04:35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04:35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04:35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04:35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04:35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04:35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04:35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04:35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04:35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04:35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04:35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04:35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04:35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04:35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04:35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04:35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04:35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04:35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04:35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04:35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04:35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04:35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04:35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04:35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04:35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04:35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04:35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04:35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04:35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04:35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04:35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04:35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04:35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04:35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04:35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04:35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04:35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04:35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04:35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04:35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04:35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04:35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04:35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04:35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04:35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04:35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04:35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04:35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04:35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04:35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04:35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04:35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04:35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04:35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04:35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04:35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04:35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04:35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04:35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04:35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04:35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04:35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04:35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04:35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04:35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04:35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04:35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04:35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04:35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04:35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04:35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04:35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04:35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04:35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04:35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04:35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04:35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04:35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04:35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04:35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04:35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04:35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04:35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04:35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04:35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04:35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04:35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04:35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04:35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04:35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04:35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04:35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04:35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04:35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04:35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04:35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04:35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04:35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04:35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04:35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04:35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04:35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04:35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04:35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04:35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04:35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04:35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04:35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04:35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04:35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04:35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04:35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04:35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04:35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04:35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04:35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04:35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04:35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04:35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04:35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04:35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04:35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04:35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04:35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04:35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04:35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04:35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04:35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04:35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04:35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04:35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04:35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04:35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04:35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04:35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04:35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04:35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04:35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04:35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04:35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04:35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04:35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04:35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04:35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04:35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04:35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04:35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04:35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04:35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04:35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04:35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04:35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04:35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04:35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04:35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04:35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04:35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04:35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04:35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04:35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04:35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04:35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04:35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04:35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04:35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04:35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04:35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04:35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04:35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04:35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04:35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04:35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04:35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04:35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04:35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04:35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04:35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04:35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04:35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04:35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04:35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04:35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04:35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04:35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04:35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04:35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04:35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04:35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04:35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04:35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04:35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04:35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04:35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04:35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04:35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04:35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04:35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04:35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04:35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04:35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04:35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04:35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04:35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04:35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04:35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04:35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04:35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04:35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04:35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21</vt:i4>
      </vt:variant>
    </vt:vector>
  </HeadingPairs>
  <TitlesOfParts>
    <vt:vector size="21" baseType="lpstr">
      <vt:lpstr>よく使うこまんど</vt:lpstr>
      <vt:lpstr>AI連携</vt:lpstr>
      <vt:lpstr>vercel log</vt:lpstr>
      <vt:lpstr>ToDo</vt:lpstr>
      <vt:lpstr>開発ToDo</vt:lpstr>
      <vt:lpstr>プロンプト</vt:lpstr>
      <vt:lpstr>Cursor</vt:lpstr>
      <vt:lpstr>AI-CICD</vt:lpstr>
      <vt:lpstr>ファイル整理</vt:lpstr>
      <vt:lpstr>ルーチン</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2025-06-10T19:38:46Z</dcterms:modified>
</cp:coreProperties>
</file>