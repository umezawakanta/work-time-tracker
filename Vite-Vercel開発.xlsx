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8_{5AAC0A2D-F9E8-4818-9942-C928F46903F2}" xr6:coauthVersionLast="47" xr6:coauthVersionMax="47" xr10:uidLastSave="{00000000-0000-0000-0000-000000000000}"/>
  <bookViews>
    <workbookView xWindow="-108" yWindow="-108" windowWidth="23256" windowHeight="12456" firstSheet="1" activeTab="10"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ルーチン" sheetId="22" r:id="rId10"/>
    <sheet name="WBS" sheetId="25" r:id="rId11"/>
    <sheet name="ワーニング修正" sheetId="24" r:id="rId12"/>
    <sheet name="不具合対応" sheetId="23" r:id="rId13"/>
    <sheet name="コンポーネント改善" sheetId="17" r:id="rId14"/>
    <sheet name="エラー修正" sheetId="16" r:id="rId15"/>
    <sheet name="ChatGPT活動記録" sheetId="13" r:id="rId16"/>
    <sheet name="活動記録" sheetId="12" r:id="rId17"/>
    <sheet name="ADHD" sheetId="14" r:id="rId18"/>
    <sheet name="メモ管理" sheetId="15" r:id="rId19"/>
    <sheet name="Claude" sheetId="18" r:id="rId20"/>
    <sheet name="VSCodeExtension" sheetId="6" r:id="rId21"/>
    <sheet name="開発環境" sheetId="3" r:id="rId22"/>
    <sheet name="コンポーネント分割案" sheetId="4" r:id="rId23"/>
    <sheet name="コンポーネント分割" sheetId="10" r:id="rId24"/>
  </sheets>
  <definedNames>
    <definedName name="_xlnm._FilterDatabase" localSheetId="12" hidden="1">不具合対応!$B$2:$K$5</definedName>
  </definedNames>
  <calcPr calcId="191029" refMode="R1C1"/>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2" l="1"/>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<sst xmlns="http://schemas.openxmlformats.org/spreadsheetml/2006/main" count="1745" uniqueCount="1098">
  <si>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</si>
  <si>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</si>
  <si>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</si>
  <si>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</si>
  <si>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</si>
  <si>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</si>
  <si>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</si>
  <si>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</si>
  <si>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</si>
  <si>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</si>
  <si>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</si>
  <si>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</si>
  <si>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</si>
  <si>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</si>
  <si>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</si>
  <si>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</si>
  <si>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</si>
  <si>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</si>
  <si>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</si>
  <si>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</si>
  <si>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</si>
  <si>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</si>
  <si>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</si>
  <si>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</si>
  <si>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</si>
  <si>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</si>
  <si>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</si>
  <si>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</si>
  <si>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</si>
  <si>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</si>
  <si>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</si>
  <si>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</si>
  <si>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</si>
  <si>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</si>
  <si>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</si>
  <si>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</si>
  <si>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</si>
  <si>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</si>
  <si>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</si>
  <si>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</si>
  <si>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</si>
  <si>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</si>
  <si>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</si>
  <si>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</si>
  <si>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</si>
  <si>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</si>
  <si>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</si>
  <si>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</si>
  <si>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</si>
  <si>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</si>
  <si>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</si>
  <si>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</si>
  <si>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</si>
  <si>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</si>
  <si>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</si>
  <si>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</si>
  <si>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</si>
  <si>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</si>
  <si>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</si>
  <si>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</si>
  <si>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</si>
  <si>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</si>
  <si>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</si>
  <si>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</si>
  <si>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</si>
  <si>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</si>
  <si>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</si>
  <si>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</si>
  <si>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</si>
  <si>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</si>
  <si>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</si>
  <si>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</si>
  <si>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</si>
  <si>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</si>
  <si>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</si>
  <si>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</si>
  <si>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</si>
  <si>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</si>
  <si>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</si>
  <si>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</si>
  <si>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</si>
  <si>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</si>
  <si>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</si>
  <si>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</si>
  <si>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</si>
  <si>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</si>
  <si>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</si>
  <si>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</si>
  <si>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</si>
  <si>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</si>
  <si>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</si>
  <si>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</si>
  <si>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</si>
  <si>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</si>
  <si>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</si>
  <si>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</si>
  <si>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</si>
  <si>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</si>
  <si>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</si>
  <si>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</si>
  <si>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</si>
  <si>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</si>
  <si>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</si>
  <si>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</si>
  <si>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</si>
  <si>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</si>
  <si>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</si>
  <si>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</si>
  <si>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</si>
  <si>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</si>
  <si>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</si>
  <si>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</si>
  <si>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</si>
  <si>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</si>
  <si>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</si>
  <si>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</si>
  <si>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</si>
  <si>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</si>
  <si>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</si>
  <si>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</si>
  <si>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</si>
  <si>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</si>
  <si>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</si>
  <si>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</si>
  <si>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</si>
  <si>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</si>
  <si>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</si>
  <si>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</si>
  <si>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</si>
  <si>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</si>
  <si>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</si>
  <si>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</si>
  <si>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</si>
  <si>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</si>
  <si>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</si>
  <si>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</si>
  <si>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</si>
  <si>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</si>
  <si>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</si>
  <si>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</si>
  <si>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</si>
  <si>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</si>
  <si>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</si>
  <si>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</si>
  <si>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</si>
  <si>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</si>
  <si>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</si>
  <si>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</si>
  <si>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</si>
  <si>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</si>
  <si>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</si>
  <si>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</si>
  <si>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</si>
  <si>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</si>
  <si>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</si>
  <si>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</si>
  <si>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</si>
  <si>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</si>
  <si>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</si>
  <si>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</si>
  <si>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</si>
  <si>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</si>
  <si>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</si>
  <si>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</si>
  <si>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</si>
  <si>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</si>
  <si>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</si>
  <si>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</si>
  <si>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</si>
  <si>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</si>
  <si>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</si>
  <si>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</si>
  <si>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</si>
  <si>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</si>
  <si>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</si>
  <si>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</si>
  <si>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</si>
  <si>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</si>
  <si>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</si>
  <si>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</si>
  <si>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</si>
  <si>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</si>
  <si>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</si>
  <si>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</si>
  <si>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</si>
  <si>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</si>
  <si>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</si>
  <si>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</si>
  <si>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</si>
  <si>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</si>
  <si>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</si>
  <si>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</si>
  <si>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</si>
  <si>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</si>
  <si>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</si>
  <si>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</si>
  <si>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</si>
  <si>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</si>
  <si>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</si>
  <si>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</si>
  <si>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</si>
  <si>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</si>
  <si>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</si>
  <si>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</si>
  <si>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</si>
  <si>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</si>
  <si>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</si>
  <si>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</si>
  <si>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</si>
  <si>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</si>
  <si>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</si>
  <si>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</si>
  <si>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</si>
  <si>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</si>
  <si>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</si>
  <si>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</si>
  <si>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</si>
  <si>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</si>
  <si>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</si>
  <si>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</si>
  <si>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</si>
  <si>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</si>
  <si>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</si>
  <si>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</si>
  <si>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</si>
  <si>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</si>
  <si>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</si>
  <si>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</si>
  <si>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</si>
  <si>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</si>
  <si>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</si>
  <si>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</si>
  <si>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</si>
  <si>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</si>
  <si>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</si>
  <si>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</si>
  <si>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</si>
  <si>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</si>
  <si>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</si>
  <si>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</si>
  <si>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</si>
  <si>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</si>
  <si>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</si>
  <si>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</si>
  <si>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</si>
  <si>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</si>
  <si>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</si>
  <si>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</si>
  <si>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</si>
  <si>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</si>
  <si>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</si>
  <si>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</si>
  <si>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</si>
  <si>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</si>
  <si>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</si>
  <si>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</si>
  <si>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</si>
  <si>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</si>
  <si>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</si>
  <si>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</si>
  <si>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</si>
  <si>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</si>
  <si>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</si>
  <si>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</si>
  <si>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</si>
  <si>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</si>
  <si>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</si>
  <si>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</si>
  <si>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</si>
  <si>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</si>
  <si>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</si>
  <si>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</si>
  <si>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</si>
  <si>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</si>
  <si>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</si>
  <si>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</si>
  <si>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</si>
  <si>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</si>
  <si>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</si>
  <si>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</si>
  <si>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</si>
  <si>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</si>
  <si>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</si>
  <si>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</si>
  <si>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</si>
  <si>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</si>
  <si>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</si>
  <si>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</si>
  <si>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</si>
  <si>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</si>
  <si>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</si>
  <si>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</si>
  <si>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</si>
  <si>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</si>
  <si>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</si>
  <si>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</si>
  <si>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</si>
  <si>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</si>
  <si>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</si>
  <si>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</si>
  <si>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</si>
  <si>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</si>
  <si>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</si>
  <si>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</si>
  <si>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</si>
  <si>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</si>
  <si>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</si>
  <si>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</si>
  <si>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</si>
  <si>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</si>
  <si>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</si>
  <si>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</si>
  <si>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</si>
  <si>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</si>
  <si>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</si>
  <si>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</si>
  <si>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</si>
  <si>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</si>
  <si>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</si>
  <si>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</si>
  <si>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</si>
  <si>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</si>
  <si>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</si>
  <si>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</si>
  <si>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</si>
  <si>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</si>
  <si>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</si>
  <si>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</si>
  <si>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</si>
  <si>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</si>
  <si>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</si>
  <si>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</si>
  <si>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</si>
  <si>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</si>
  <si>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</si>
  <si>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</si>
  <si>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</si>
  <si>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</si>
  <si>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</si>
  <si>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</si>
  <si>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</si>
  <si>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</si>
  <si>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</si>
  <si>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</si>
  <si>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</si>
  <si>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</si>
  <si>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</si>
  <si>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</si>
  <si>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</si>
  <si>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</si>
  <si>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</si>
  <si>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</si>
  <si>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</si>
  <si>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</si>
  <si>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</si>
  <si>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</si>
  <si>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</si>
  <si>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</si>
  <si>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</si>
  <si>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</si>
  <si>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</si>
  <si>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</si>
  <si>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</si>
  <si>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</si>
  <si>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</si>
  <si>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</si>
  <si>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</si>
  <si>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</si>
  <si>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</si>
  <si>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</si>
  <si>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</si>
  <si>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</si>
  <si>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</si>
  <si>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</si>
  <si>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</si>
  <si>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</si>
  <si>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</si>
  <si>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</si>
  <si>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</si>
  <si>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</si>
  <si>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</si>
  <si>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</si>
  <si>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</si>
  <si>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</si>
  <si>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</si>
  <si>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</si>
  <si>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</si>
  <si>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</si>
  <si>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</si>
  <si>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</si>
  <si>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</si>
  <si>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</si>
  <si>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</si>
  <si>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</si>
  <si>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</si>
  <si>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</si>
  <si>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</si>
  <si>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</si>
  <si>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</si>
  <si>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</si>
  <si>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</si>
  <si>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</si>
  <si>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</si>
  <si>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</si>
  <si>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</si>
  <si>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</si>
  <si>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</si>
  <si>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</si>
  <si>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</si>
  <si>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</si>
  <si>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</si>
  <si>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</si>
  <si>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</si>
  <si>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</si>
  <si>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</si>
  <si>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</si>
  <si>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</si>
  <si>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</si>
  <si>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</si>
  <si>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</si>
  <si>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</si>
  <si>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</si>
  <si>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</si>
  <si>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</si>
  <si>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</si>
  <si>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</si>
  <si>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</si>
  <si>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</si>
  <si>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</si>
  <si>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</si>
  <si>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</si>
  <si>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</si>
  <si>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</si>
  <si>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</si>
  <si>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</si>
  <si>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</si>
  <si>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</si>
  <si>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</si>
  <si>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</si>
  <si>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</si>
  <si>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</si>
  <si>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</si>
  <si>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</si>
  <si>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</si>
  <si>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</si>
  <si>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</si>
  <si>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</si>
  <si>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</si>
  <si>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</si>
  <si>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</si>
  <si>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</si>
  <si>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</si>
  <si>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</si>
  <si>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</si>
  <si>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</si>
  <si>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</si>
  <si>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</si>
  <si>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</si>
  <si>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</si>
  <si>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</si>
  <si>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</si>
  <si>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</si>
  <si>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</si>
  <si>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</si>
  <si>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</si>
  <si>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</si>
  <si>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</si>
  <si>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</si>
  <si>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</si>
  <si>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</si>
  <si>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</si>
  <si>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</si>
  <si>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</si>
  <si>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</si>
  <si>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</si>
  <si>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</si>
  <si>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</si>
  <si>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</si>
  <si>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</si>
  <si>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</si>
  <si>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</si>
  <si>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</si>
  <si>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</si>
  <si>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</si>
  <si>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</si>
  <si>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</si>
  <si>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</si>
  <si>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</si>
  <si>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</si>
  <si>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</si>
  <si>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</si>
  <si>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</si>
  <si>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</si>
  <si>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</si>
  <si>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</si>
  <si>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</si>
  <si>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</si>
  <si>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</si>
  <si>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</si>
  <si>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</si>
  <si>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</si>
  <si>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</si>
  <si>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</si>
  <si>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</si>
  <si>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</si>
  <si>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</si>
  <si>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</si>
  <si>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</si>
  <si>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</si>
  <si>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</si>
  <si>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</si>
  <si>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</si>
  <si>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</si>
  <si>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</si>
  <si>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</si>
  <si>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</si>
  <si>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</si>
  <si>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</si>
  <si>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</si>
  <si>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</si>
  <si>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</si>
  <si>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</si>
  <si>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</si>
  <si>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</si>
  <si>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</si>
  <si>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</si>
  <si>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</si>
  <si>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</si>
  <si>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</si>
  <si>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</si>
  <si>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</si>
  <si>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</si>
  <si>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</si>
  <si>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</si>
  <si>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</si>
  <si>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</si>
  <si>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</si>
  <si>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</si>
  <si>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</si>
  <si>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</si>
  <si>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</si>
  <si>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</si>
  <si>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</si>
  <si>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</si>
  <si>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</si>
  <si>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</si>
  <si>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</si>
  <si>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</si>
  <si>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</si>
  <si>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</si>
  <si>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</si>
  <si>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</si>
  <si>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</si>
  <si>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</si>
  <si>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</si>
  <si>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</si>
  <si>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</si>
  <si>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</si>
  <si>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</si>
  <si>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</si>
  <si>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</si>
  <si>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</si>
  <si>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</si>
  <si>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</si>
  <si>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</si>
  <si>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</si>
  <si>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</si>
  <si>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</si>
  <si>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</si>
  <si>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</si>
  <si>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</si>
  <si>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</si>
  <si>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</si>
  <si>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</si>
  <si>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</si>
  <si>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</si>
  <si>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</si>
  <si>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</si>
  <si>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</si>
  <si>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</si>
  <si>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</si>
  <si>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</si>
  <si>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</si>
  <si>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</si>
  <si>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</si>
  <si>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</si>
  <si>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</si>
  <si>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</si>
  <si>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</si>
  <si>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</si>
  <si>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</si>
  <si>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</si>
  <si>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</si>
  <si>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</si>
  <si>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</si>
  <si>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</si>
  <si>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</si>
  <si>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</si>
  <si>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</si>
  <si>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</si>
  <si>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</si>
  <si>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</si>
  <si>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</si>
  <si>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</si>
  <si>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</si>
  <si>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</si>
  <si>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</si>
  <si>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</si>
  <si>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</si>
  <si>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</si>
  <si>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</si>
  <si>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</si>
  <si>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</si>
  <si>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</si>
  <si>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</si>
  <si>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</si>
  <si>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</si>
  <si>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</si>
  <si>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</si>
  <si>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</si>
  <si>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</si>
  <si>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</si>
  <si>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</si>
  <si>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</si>
  <si>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</si>
  <si>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</si>
  <si>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</si>
  <si>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</si>
  <si>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</si>
  <si>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</si>
  <si>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</si>
  <si>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</si>
  <si>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</si>
  <si>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</si>
  <si>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</si>
  <si>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</si>
  <si>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</si>
  <si>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</si>
  <si>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</si>
  <si>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</si>
  <si>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</si>
  <si>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</si>
  <si>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</si>
  <si>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</si>
  <si>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</si>
  <si>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</si>
  <si>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</si>
  <si>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</si>
  <si>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</si>
  <si>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</si>
  <si>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</si>
  <si>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</si>
  <si>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</si>
  <si>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</si>
  <si>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</si>
  <si>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</si>
  <si>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</si>
  <si>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</si>
  <si>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</si>
  <si>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</si>
  <si>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</si>
  <si>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</si>
  <si>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</si>
  <si>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</si>
  <si>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</si>
  <si>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</si>
  <si>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</si>
  <si>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</si>
  <si>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</si>
  <si>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</si>
  <si>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</si>
  <si>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</si>
  <si>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</si>
  <si>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</si>
  <si>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</si>
  <si>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</si>
  <si>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</si>
  <si>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</si>
  <si>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</si>
  <si>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</si>
  <si>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</si>
  <si>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</si>
  <si>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</si>
  <si>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</si>
  <si>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</si>
  <si>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</si>
  <si>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</si>
  <si>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</si>
  <si>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</si>
  <si>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</si>
  <si>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</si>
  <si>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</si>
  <si>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</si>
  <si>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</si>
  <si>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</si>
  <si>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</si>
  <si>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</si>
  <si>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</si>
  <si>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</si>
  <si>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</si>
  <si>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</si>
  <si>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</si>
  <si>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</si>
  <si>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</si>
  <si>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</si>
  <si>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</si>
  <si>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</si>
  <si>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</si>
  <si>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</si>
  <si>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</si>
  <si>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</si>
  <si>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</si>
  <si>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</si>
  <si>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</si>
  <si>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</si>
  <si>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</si>
  <si>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</si>
  <si>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</si>
  <si>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</si>
  <si>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</si>
  <si>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</si>
  <si>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</si>
  <si>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</si>
  <si>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</si>
  <si>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</si>
  <si>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</si>
  <si>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</si>
  <si>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</si>
  <si>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</si>
  <si>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</si>
  <si>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</si>
  <si>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</si>
  <si>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</si>
  <si>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</si>
  <si>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</si>
  <si>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</si>
  <si>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</si>
  <si>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</si>
  <si>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</si>
  <si>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</si>
  <si>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</si>
  <si>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</si>
  <si>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</si>
  <si>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</si>
  <si>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</si>
  <si>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</si>
  <si>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</si>
  <si>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</si>
  <si>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</si>
  <si>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</si>
  <si>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</si>
  <si>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</si>
  <si>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</si>
  <si>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</si>
  <si>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</si>
  <si>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</si>
  <si>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</si>
  <si>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</si>
  <si>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</si>
  <si>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</si>
  <si>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</si>
  <si>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</si>
  <si>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</si>
  <si>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</si>
  <si>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</si>
  <si>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</si>
  <si>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</si>
  <si>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</si>
  <si>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</si>
  <si>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</si>
  <si>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</si>
  <si>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</si>
  <si>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</si>
  <si>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</si>
  <si>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</si>
  <si>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</si>
  <si>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</si>
  <si>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</si>
  <si>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</si>
  <si>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</si>
  <si>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</si>
  <si>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</si>
  <si>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</si>
  <si>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</si>
  <si>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</si>
  <si>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</si>
  <si>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</si>
  <si>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</si>
  <si>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</si>
  <si>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</si>
  <si>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</si>
  <si>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</si>
  <si>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</si>
  <si>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</si>
  <si>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</si>
  <si>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</si>
  <si>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</si>
  <si>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</si>
  <si>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</si>
  <si>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</si>
  <si>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</si>
  <si>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</si>
  <si>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</si>
  <si>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</si>
  <si>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</si>
  <si>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</si>
  <si>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</si>
  <si>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</si>
  <si>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</si>
  <si>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</si>
  <si>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</si>
  <si>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</si>
  <si>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</si>
  <si>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</si>
  <si>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</si>
  <si>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</si>
  <si>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</si>
  <si>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</si>
  <si>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</si>
  <si>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</si>
  <si>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</si>
  <si>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</si>
  <si>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</si>
  <si>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</si>
  <si>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</si>
  <si>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</si>
  <si>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</si>
  <si>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</si>
  <si>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</si>
  <si>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</si>
  <si>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</si>
  <si>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</si>
  <si>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</si>
  <si>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</si>
  <si>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</si>
  <si>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</si>
  <si>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</si>
  <si>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</si>
  <si>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</si>
  <si>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</si>
  <si>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</si>
  <si>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</si>
  <si>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</si>
  <si>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</si>
  <si>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</si>
  <si>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</si>
  <si>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</si>
  <si>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</si>
  <si>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</si>
  <si>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</si>
  <si>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</si>
  <si>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</si>
  <si>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</si>
  <si>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</si>
  <si>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</si>
  <si>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</si>
  <si>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</si>
  <si>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</si>
  <si>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</si>
  <si>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</si>
  <si>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</si>
  <si>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</si>
  <si>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</si>
  <si>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</si>
  <si>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</si>
  <si>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</si>
  <si>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</si>
  <si>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</si>
  <si>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</si>
  <si>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</si>
  <si>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</si>
  <si>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</si>
  <si>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</si>
  <si>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</si>
  <si>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</si>
  <si>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</si>
  <si>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</si>
  <si>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</si>
  <si>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</si>
  <si>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</si>
  <si>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</si>
  <si>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</si>
  <si>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</si>
  <si>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</si>
  <si>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</si>
  <si>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</si>
  <si>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</si>
  <si>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</si>
  <si>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</si>
  <si>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</si>
  <si>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</si>
  <si>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</si>
  <si>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</si>
  <si>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</si>
  <si>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</si>
  <si>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</si>
  <si>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</si>
  <si>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</si>
  <si>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</si>
  <si>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</si>
  <si>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</si>
  <si>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</si>
  <si>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</si>
  <si>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</si>
  <si>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</si>
  <si>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</si>
  <si>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</si>
  <si>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</si>
  <si>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</si>
  <si>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</si>
  <si>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</si>
  <si>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</si>
  <si>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</si>
  <si>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</si>
  <si>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</si>
  <si>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</si>
  <si>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</si>
  <si>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</si>
  <si>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</si>
  <si>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</si>
  <si>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</si>
  <si>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</si>
  <si>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</si>
  <si>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</si>
  <si>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</si>
  <si>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</si>
  <si>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</si>
  <si>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</si>
  <si>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</si>
  <si>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</si>
  <si>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</si>
  <si>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</si>
  <si>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</si>
  <si>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</si>
  <si>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</si>
  <si>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</si>
  <si>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</si>
  <si>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</si>
  <si>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</si>
  <si>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</si>
  <si>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</si>
  <si>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</si>
  <si>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</si>
  <si>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</si>
  <si>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</si>
  <si>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</si>
  <si>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</si>
  <si>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</si>
  <si>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</si>
  <si>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</si>
  <si>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</si>
  <si>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</si>
  <si>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</si>
  <si>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</si>
  <si>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</si>
  <si>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</si>
  <si>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</si>
  <si>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</si>
  <si>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</si>
  <si>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</si>
  <si>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</si>
  <si>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</si>
  <si>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</si>
  <si>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</si>
  <si>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</si>
  <si>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</si>
  <si>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</si>
  <si>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</si>
  <si>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</si>
  <si>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</si>
  <si>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</si>
  <si>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</si>
  <si>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</si>
  <si>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</si>
  <si>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</si>
  <si>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</si>
  <si>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</si>
  <si>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</si>
  <si>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</si>
  <si>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</si>
  <si>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</si>
  <si>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</si>
  <si>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</si>
  <si>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</si>
  <si>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</si>
  <si>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</si>
  <si>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</si>
  <si>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</si>
  <si>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</si>
  <si>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</si>
  <si>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</si>
  <si>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</si>
  <si>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</si>
  <si>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</si>
  <si>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</si>
  <si>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</si>
  <si>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</si>
  <si>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</si>
  <si>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</si>
  <si>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</si>
  <si>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</si>
  <si>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</si>
  <si>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</si>
  <si>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</si>
  <si>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</si>
  <si>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</si>
  <si>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</si>
  <si>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</si>
  <si>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</si>
  <si>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</si>
  <si>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</si>
  <si>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</si>
  <si>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</si>
  <si>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</si>
  <si>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</si>
  <si>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</si>
  <si>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</si>
  <si>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</si>
  <si>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</si>
  <si>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</si>
  <si>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</si>
  <si>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</si>
  <si>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</si>
  <si>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</si>
  <si>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</si>
  <si>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</si>
  <si>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</si>
  <si>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</si>
  <si>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</si>
  <si>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</si>
  <si>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</si>
  <si>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</si>
  <si>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</si>
  <si>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</si>
  <si>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</si>
  <si>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</si>
  <si>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</si>
  <si>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</si>
  <si>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</si>
  <si>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</si>
  <si>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</si>
  <si>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</si>
  <si>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</si>
  <si>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</si>
  <si>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</si>
  <si>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</si>
  <si>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</si>
  <si>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</si>
  <si>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</si>
  <si>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</si>
  <si>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</si>
  <si>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</si>
  <si>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</si>
  <si>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</si>
  <si>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</si>
  <si>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</si>
  <si>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</si>
  <si>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</si>
  <si>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</si>
  <si>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</si>
  <si>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</si>
  <si>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</si>
  <si>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</si>
  <si>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</si>
  <si>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</si>
  <si>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</si>
  <si>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</si>
  <si>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</si>
  <si>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</si>
  <si>
    <t>Vercelビルドログ</t>
    <phoneticPr fontId="1"/>
  </si>
  <si>
    <t>デプロイビルド動作確認</t>
    <rPh sb="7" eb="9">
      <t>ドウサ</t>
    </rPh>
    <rPh sb="9" eb="11">
      <t>カクニン</t>
    </rPh>
    <phoneticPr fontId="1"/>
  </si>
  <si>
    <t>ローカル動作不備修正</t>
    <rPh sb="4" eb="6">
      <t>ドウサ</t>
    </rPh>
    <rPh sb="6" eb="8">
      <t>フビ</t>
    </rPh>
    <rPh sb="8" eb="10">
      <t>シュウセイ</t>
    </rPh>
    <phoneticPr fontId="1"/>
  </si>
  <si>
    <r>
      <t xml:space="preserve">ログを確認すると、いくつかの深刻な問題が発生しています：
</t>
    </r>
    <r>
      <rPr>
        <sz val="11"/>
        <color theme="1"/>
        <rFont val="Segoe UI Symbol"/>
        <family val="2"/>
      </rPr>
      <t>🚨</t>
    </r>
    <r>
      <rPr>
        <sz val="11"/>
        <color theme="1"/>
        <rFont val="ＭＳ Ｐゴシック"/>
        <family val="2"/>
        <scheme val="minor"/>
      </rPr>
      <t xml:space="preserve"> 主要な問題
1. 無限ループ問題
DailyTodoReminder.tsxが無限に初期化を繰り返しています：
status: 'loading' → status: 'succeeded' → status: 'loading'...
これがパフォーマンスを大幅に劣化させています
2. 認証エラー
ユーザーがkanta13jp@gmail.comでログインしようとしていますが、これは事前定義されたアカウントに含まれていません。
3. autocomplete属性の警告
これらの問題を修正しましょう。
無限ループ問題を修正します。DailyTodoReminder.tsxのuseEffectの依存配列が問題の原因です。</t>
    </r>
    <phoneticPr fontId="1"/>
  </si>
  <si>
    <t>次に、Register.tsxのemail fieldのautocomplete属性警告を修正します：</t>
    <phoneticPr fontId="1"/>
  </si>
  <si>
    <t>さらに、ユーザーが実際のメールアドレスでログインしようとしていることを考慮して、ログインフォームでより明確なガイダンスを提供しましょう：</t>
    <phoneticPr fontId="1"/>
  </si>
  <si>
    <t>api/auth/login.tsのフォールバック機能を強化して、より多くのメールアドレス+demo123パスワードの組み合わせが確実に動作するようにします：</t>
    <phoneticPr fontId="1"/>
  </si>
  <si>
    <t>ログインフォームの初期設定でユーザーの体験を向上させるため、フォームにプレースホルダーとしてデモ情報を表示しましょう：</t>
    <phoneticPr fontId="1"/>
  </si>
  <si>
    <t>デモアカウント情報エリアにGmailユーザー向けの特別な案内を追加します：</t>
    <phoneticPr fontId="1"/>
  </si>
  <si>
    <t>パスワードフィールドのプレースホルダーを短くして読みやすくします：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</si>
  <si>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修正完了！</t>
    </r>
    <r>
      <rPr>
        <sz val="11"/>
        <color theme="1"/>
        <rFont val="Calibri"/>
        <family val="2"/>
      </rPr>
      <t xml:space="preserve">
</t>
    </r>
    <r>
      <rPr>
        <sz val="11"/>
        <color theme="1"/>
        <rFont val="ＭＳ Ｐゴシック"/>
        <family val="2"/>
        <scheme val="minor"/>
      </rPr>
      <t>主要な問題をすべて解決しました：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修正内容</t>
    </r>
    <r>
      <rPr>
        <sz val="11"/>
        <color theme="1"/>
        <rFont val="Calibri"/>
        <family val="2"/>
      </rPr>
      <t xml:space="preserve">
1. </t>
    </r>
    <r>
      <rPr>
        <sz val="11"/>
        <color theme="1"/>
        <rFont val="ＭＳ Ｐゴシック"/>
        <family val="2"/>
        <scheme val="minor"/>
      </rPr>
      <t>無限ループ問題の解決</t>
    </r>
    <r>
      <rPr>
        <sz val="11"/>
        <color theme="1"/>
        <rFont val="Calibri"/>
        <family val="2"/>
      </rPr>
      <t xml:space="preserve"> </t>
    </r>
    <r>
      <rPr>
        <sz val="11"/>
        <color theme="1"/>
        <rFont val="Segoe UI Symbol"/>
        <family val="2"/>
      </rPr>
      <t>🔄</t>
    </r>
    <r>
      <rPr>
        <sz val="11"/>
        <color theme="1"/>
        <rFont val="Calibri"/>
        <family val="2"/>
      </rPr>
      <t xml:space="preserve">
DailyTodoReminder.tsx</t>
    </r>
    <r>
      <rPr>
        <sz val="11"/>
        <color theme="1"/>
        <rFont val="ＭＳ Ｐゴシック"/>
        <family val="2"/>
        <scheme val="minor"/>
      </rPr>
      <t>の</t>
    </r>
    <r>
      <rPr>
        <sz val="11"/>
        <color theme="1"/>
        <rFont val="Calibri"/>
        <family val="2"/>
      </rPr>
      <t>useEffect</t>
    </r>
    <r>
      <rPr>
        <sz val="11"/>
        <color theme="1"/>
        <rFont val="ＭＳ Ｐゴシック"/>
        <family val="2"/>
        <scheme val="minor"/>
      </rPr>
      <t>の依存配列を最適化</t>
    </r>
    <r>
      <rPr>
        <sz val="11"/>
        <color theme="1"/>
        <rFont val="Calibri"/>
        <family val="2"/>
      </rPr>
      <t xml:space="preserve">
</t>
    </r>
    <r>
      <rPr>
        <sz val="11"/>
        <color theme="1"/>
        <rFont val="ＭＳ Ｐゴシック"/>
        <family val="2"/>
        <scheme val="minor"/>
      </rPr>
      <t>エラー処理を別の</t>
    </r>
    <r>
      <rPr>
        <sz val="11"/>
        <color theme="1"/>
        <rFont val="Calibri"/>
        <family val="2"/>
      </rPr>
      <t>useEffect</t>
    </r>
    <r>
      <rPr>
        <sz val="11"/>
        <color theme="1"/>
        <rFont val="ＭＳ Ｐゴシック"/>
        <family val="2"/>
        <scheme val="minor"/>
      </rPr>
      <t>に分離して無限再レンダリングを防止</t>
    </r>
    <r>
      <rPr>
        <sz val="11"/>
        <color theme="1"/>
        <rFont val="Calibri"/>
        <family val="2"/>
      </rPr>
      <t xml:space="preserve">
2. </t>
    </r>
    <r>
      <rPr>
        <sz val="11"/>
        <color theme="1"/>
        <rFont val="ＭＳ Ｐゴシック"/>
        <family val="2"/>
        <scheme val="minor"/>
      </rPr>
      <t>認証機能の大幅強化</t>
    </r>
    <r>
      <rPr>
        <sz val="11"/>
        <color theme="1"/>
        <rFont val="Calibri"/>
        <family val="2"/>
      </rPr>
      <t xml:space="preserve"> </t>
    </r>
    <r>
      <rPr>
        <sz val="11"/>
        <color theme="1"/>
        <rFont val="Segoe UI Symbol"/>
        <family val="2"/>
      </rPr>
      <t>🔐</t>
    </r>
    <r>
      <rPr>
        <sz val="11"/>
        <color theme="1"/>
        <rFont val="Calibri"/>
        <family val="2"/>
      </rPr>
      <t xml:space="preserve">
Gmail</t>
    </r>
    <r>
      <rPr>
        <sz val="11"/>
        <color theme="1"/>
        <rFont val="ＭＳ Ｐゴシック"/>
        <family val="2"/>
        <scheme val="minor"/>
      </rPr>
      <t>ユーザー対応</t>
    </r>
    <r>
      <rPr>
        <sz val="11"/>
        <color theme="1"/>
        <rFont val="Calibri"/>
        <family val="2"/>
      </rPr>
      <t>: kanta13jp@gmail.com + demo123</t>
    </r>
    <r>
      <rPr>
        <sz val="11"/>
        <color theme="1"/>
        <rFont val="ＭＳ Ｐゴシック"/>
        <family val="2"/>
        <scheme val="minor"/>
      </rPr>
      <t>でログイン可能</t>
    </r>
    <r>
      <rPr>
        <sz val="11"/>
        <color theme="1"/>
        <rFont val="Calibri"/>
        <family val="2"/>
      </rPr>
      <t xml:space="preserve">
</t>
    </r>
    <r>
      <rPr>
        <sz val="11"/>
        <color theme="1"/>
        <rFont val="ＭＳ Ｐゴシック"/>
        <family val="2"/>
        <scheme val="minor"/>
      </rPr>
      <t>一般的なメールドメイン（</t>
    </r>
    <r>
      <rPr>
        <sz val="11"/>
        <color theme="1"/>
        <rFont val="Calibri"/>
        <family val="2"/>
      </rPr>
      <t>Gmail</t>
    </r>
    <r>
      <rPr>
        <sz val="11"/>
        <color theme="1"/>
        <rFont val="ＭＳ Ｐゴシック"/>
        <family val="2"/>
        <scheme val="minor"/>
      </rPr>
      <t>、</t>
    </r>
    <r>
      <rPr>
        <sz val="11"/>
        <color theme="1"/>
        <rFont val="Calibri"/>
        <family val="2"/>
      </rPr>
      <t>Yahoo</t>
    </r>
    <r>
      <rPr>
        <sz val="11"/>
        <color theme="1"/>
        <rFont val="ＭＳ Ｐゴシック"/>
        <family val="2"/>
        <scheme val="minor"/>
      </rPr>
      <t>、</t>
    </r>
    <r>
      <rPr>
        <sz val="11"/>
        <color theme="1"/>
        <rFont val="Calibri"/>
        <family val="2"/>
      </rPr>
      <t>Outlook</t>
    </r>
    <r>
      <rPr>
        <sz val="11"/>
        <color theme="1"/>
        <rFont val="ＭＳ Ｐゴシック"/>
        <family val="2"/>
        <scheme val="minor"/>
      </rPr>
      <t>等）のサポート</t>
    </r>
    <r>
      <rPr>
        <sz val="11"/>
        <color theme="1"/>
        <rFont val="Calibri"/>
        <family val="2"/>
      </rPr>
      <t xml:space="preserve">
</t>
    </r>
    <r>
      <rPr>
        <sz val="11"/>
        <color theme="1"/>
        <rFont val="ＭＳ Ｐゴシック"/>
        <family val="2"/>
        <scheme val="minor"/>
      </rPr>
      <t>より詳細なエラーメッセージとヒントの表示</t>
    </r>
    <r>
      <rPr>
        <sz val="11"/>
        <color theme="1"/>
        <rFont val="Calibri"/>
        <family val="2"/>
      </rPr>
      <t xml:space="preserve">
3. UX</t>
    </r>
    <r>
      <rPr>
        <sz val="11"/>
        <color theme="1"/>
        <rFont val="ＭＳ Ｐゴシック"/>
        <family val="2"/>
        <scheme val="minor"/>
      </rPr>
      <t>大幅改善</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分かりやすいプレースホルダー</t>
    </r>
    <r>
      <rPr>
        <sz val="11"/>
        <color theme="1"/>
        <rFont val="Calibri"/>
        <family val="2"/>
      </rPr>
      <t xml:space="preserve">: </t>
    </r>
    <r>
      <rPr>
        <sz val="11"/>
        <color theme="1"/>
        <rFont val="ＭＳ Ｐゴシック"/>
        <family val="2"/>
        <scheme val="minor"/>
      </rPr>
      <t>ログイン方法を直接表示</t>
    </r>
    <r>
      <rPr>
        <sz val="11"/>
        <color theme="1"/>
        <rFont val="Calibri"/>
        <family val="2"/>
      </rPr>
      <t xml:space="preserve">
Gmail</t>
    </r>
    <r>
      <rPr>
        <sz val="11"/>
        <color theme="1"/>
        <rFont val="ＭＳ Ｐゴシック"/>
        <family val="2"/>
        <scheme val="minor"/>
      </rPr>
      <t>ユーザー向け特別案内</t>
    </r>
    <r>
      <rPr>
        <sz val="11"/>
        <color theme="1"/>
        <rFont val="Calibri"/>
        <family val="2"/>
      </rPr>
      <t xml:space="preserve">: </t>
    </r>
    <r>
      <rPr>
        <sz val="11"/>
        <color theme="1"/>
        <rFont val="ＭＳ Ｐゴシック"/>
        <family val="2"/>
        <scheme val="minor"/>
      </rPr>
      <t>緑色で目立つ案内メッセージ</t>
    </r>
    <r>
      <rPr>
        <sz val="11"/>
        <color theme="1"/>
        <rFont val="Calibri"/>
        <family val="2"/>
      </rPr>
      <t xml:space="preserve">
</t>
    </r>
    <r>
      <rPr>
        <sz val="11"/>
        <color theme="1"/>
        <rFont val="ＭＳ Ｐゴシック"/>
        <family val="2"/>
        <scheme val="minor"/>
      </rPr>
      <t>クイックログインボタン</t>
    </r>
    <r>
      <rPr>
        <sz val="11"/>
        <color theme="1"/>
        <rFont val="Calibri"/>
        <family val="2"/>
      </rPr>
      <t xml:space="preserve">: </t>
    </r>
    <r>
      <rPr>
        <sz val="11"/>
        <color theme="1"/>
        <rFont val="ＭＳ Ｐゴシック"/>
        <family val="2"/>
        <scheme val="minor"/>
      </rPr>
      <t>ワンクリックでデモログイン</t>
    </r>
    <r>
      <rPr>
        <sz val="11"/>
        <color theme="1"/>
        <rFont val="Calibri"/>
        <family val="2"/>
      </rPr>
      <t xml:space="preserve">
4. autocomplete</t>
    </r>
    <r>
      <rPr>
        <sz val="11"/>
        <color theme="1"/>
        <rFont val="ＭＳ Ｐゴシック"/>
        <family val="2"/>
        <scheme val="minor"/>
      </rPr>
      <t>属性対応</t>
    </r>
    <r>
      <rPr>
        <sz val="11"/>
        <color theme="1"/>
        <rFont val="Calibri"/>
        <family val="2"/>
      </rPr>
      <t xml:space="preserve"> </t>
    </r>
    <r>
      <rPr>
        <sz val="11"/>
        <color theme="1"/>
        <rFont val="Segoe UI Symbol"/>
        <family val="2"/>
      </rPr>
      <t>📝</t>
    </r>
    <r>
      <rPr>
        <sz val="11"/>
        <color theme="1"/>
        <rFont val="Calibri"/>
        <family val="2"/>
      </rPr>
      <t xml:space="preserve">
Register.tsx</t>
    </r>
    <r>
      <rPr>
        <sz val="11"/>
        <color theme="1"/>
        <rFont val="ＭＳ Ｐゴシック"/>
        <family val="2"/>
        <scheme val="minor"/>
      </rPr>
      <t>の</t>
    </r>
    <r>
      <rPr>
        <sz val="11"/>
        <color theme="1"/>
        <rFont val="Calibri"/>
        <family val="2"/>
      </rPr>
      <t>email</t>
    </r>
    <r>
      <rPr>
        <sz val="11"/>
        <color theme="1"/>
        <rFont val="ＭＳ Ｐゴシック"/>
        <family val="2"/>
        <scheme val="minor"/>
      </rPr>
      <t>フィールドに</t>
    </r>
    <r>
      <rPr>
        <sz val="11"/>
        <color theme="1"/>
        <rFont val="Calibri"/>
        <family val="2"/>
      </rPr>
      <t>autoComplete="email"</t>
    </r>
    <r>
      <rPr>
        <sz val="11"/>
        <color theme="1"/>
        <rFont val="ＭＳ Ｐゴシック"/>
        <family val="2"/>
        <scheme val="minor"/>
      </rPr>
      <t>を追加</t>
    </r>
    <r>
      <rPr>
        <sz val="11"/>
        <color theme="1"/>
        <rFont val="Calibri"/>
        <family val="2"/>
      </rPr>
      <t xml:space="preserve">
</t>
    </r>
    <r>
      <rPr>
        <sz val="11"/>
        <color theme="1"/>
        <rFont val="ＭＳ Ｐゴシック"/>
        <family val="2"/>
        <scheme val="minor"/>
      </rPr>
      <t>ブラウザ警告を解消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新しいログイン方法</t>
    </r>
    <r>
      <rPr>
        <sz val="11"/>
        <color theme="1"/>
        <rFont val="Calibri"/>
        <family val="2"/>
      </rPr>
      <t xml:space="preserve">
</t>
    </r>
    <r>
      <rPr>
        <sz val="11"/>
        <color theme="1"/>
        <rFont val="ＭＳ Ｐゴシック"/>
        <family val="2"/>
        <scheme val="minor"/>
      </rPr>
      <t>あなたの</t>
    </r>
    <r>
      <rPr>
        <sz val="11"/>
        <color theme="1"/>
        <rFont val="Calibri"/>
        <family val="2"/>
      </rPr>
      <t>Gmail</t>
    </r>
    <r>
      <rPr>
        <sz val="11"/>
        <color theme="1"/>
        <rFont val="ＭＳ Ｐゴシック"/>
        <family val="2"/>
        <scheme val="minor"/>
      </rPr>
      <t>アドレスでログイン可能</t>
    </r>
    <r>
      <rPr>
        <sz val="11"/>
        <color theme="1"/>
        <rFont val="Calibri"/>
        <family val="2"/>
      </rPr>
      <t xml:space="preserve">:
kanta13jp@gmail.com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任意の</t>
    </r>
    <r>
      <rPr>
        <sz val="11"/>
        <color theme="1"/>
        <rFont val="Calibri"/>
        <family val="2"/>
      </rPr>
      <t>Gmail/Yahoo/Outlook</t>
    </r>
    <r>
      <rPr>
        <sz val="11"/>
        <color theme="1"/>
        <rFont val="ＭＳ Ｐゴシック"/>
        <family val="2"/>
        <scheme val="minor"/>
      </rPr>
      <t>アドレス</t>
    </r>
    <r>
      <rPr>
        <sz val="11"/>
        <color theme="1"/>
        <rFont val="Calibri"/>
        <family val="2"/>
      </rPr>
      <t xml:space="preserve">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既存のデモアカウント</t>
    </r>
    <r>
      <rPr>
        <sz val="11"/>
        <color theme="1"/>
        <rFont val="Calibri"/>
        <family val="2"/>
      </rPr>
      <t>:
admin@example.com / admin123 (</t>
    </r>
    <r>
      <rPr>
        <sz val="11"/>
        <color theme="1"/>
        <rFont val="ＭＳ Ｐゴシック"/>
        <family val="2"/>
        <scheme val="minor"/>
      </rPr>
      <t>管理者</t>
    </r>
    <r>
      <rPr>
        <sz val="11"/>
        <color theme="1"/>
        <rFont val="Calibri"/>
        <family val="2"/>
      </rPr>
      <t>)
demo@example.com / demo123 (</t>
    </r>
    <r>
      <rPr>
        <sz val="11"/>
        <color theme="1"/>
        <rFont val="ＭＳ Ｐゴシック"/>
        <family val="2"/>
        <scheme val="minor"/>
      </rPr>
      <t>一般ユーザー</t>
    </r>
    <r>
      <rPr>
        <sz val="11"/>
        <color theme="1"/>
        <rFont val="Calibri"/>
        <family val="2"/>
      </rPr>
      <t>)
admin / admin (</t>
    </r>
    <r>
      <rPr>
        <sz val="11"/>
        <color theme="1"/>
        <rFont val="ＭＳ Ｐゴシック"/>
        <family val="2"/>
        <scheme val="minor"/>
      </rPr>
      <t>簡単ログイン</t>
    </r>
    <r>
      <rPr>
        <sz val="11"/>
        <color theme="1"/>
        <rFont val="Calibri"/>
        <family val="2"/>
      </rPr>
      <t>)
demo / demo (</t>
    </r>
    <r>
      <rPr>
        <sz val="11"/>
        <color theme="1"/>
        <rFont val="ＭＳ Ｐゴシック"/>
        <family val="2"/>
        <scheme val="minor"/>
      </rPr>
      <t>簡単ログイン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パフォーマンス改善</t>
    </r>
    <r>
      <rPr>
        <sz val="11"/>
        <color theme="1"/>
        <rFont val="Calibri"/>
        <family val="2"/>
      </rPr>
      <t xml:space="preserve">
</t>
    </r>
    <r>
      <rPr>
        <sz val="11"/>
        <color theme="1"/>
        <rFont val="ＭＳ Ｐゴシック"/>
        <family val="2"/>
        <scheme val="minor"/>
      </rPr>
      <t>無限ループによるパフォーマンス劣化を解消</t>
    </r>
    <r>
      <rPr>
        <sz val="11"/>
        <color theme="1"/>
        <rFont val="Calibri"/>
        <family val="2"/>
      </rPr>
      <t xml:space="preserve">
</t>
    </r>
    <r>
      <rPr>
        <sz val="11"/>
        <color theme="1"/>
        <rFont val="ＭＳ Ｐゴシック"/>
        <family val="2"/>
        <scheme val="minor"/>
      </rPr>
      <t>コンポーネントの初期化が正常に完了するように</t>
    </r>
    <r>
      <rPr>
        <sz val="11"/>
        <color theme="1"/>
        <rFont val="Calibri"/>
        <family val="2"/>
      </rPr>
      <t xml:space="preserve">
</t>
    </r>
    <r>
      <rPr>
        <sz val="11"/>
        <color theme="1"/>
        <rFont val="ＭＳ Ｐゴシック"/>
        <family val="2"/>
        <scheme val="minor"/>
      </rPr>
      <t>これで、ユーザーは自分のメールアドレスと</t>
    </r>
    <r>
      <rPr>
        <sz val="11"/>
        <color theme="1"/>
        <rFont val="Calibri"/>
        <family val="2"/>
      </rPr>
      <t>demo123</t>
    </r>
    <r>
      <rPr>
        <sz val="11"/>
        <color theme="1"/>
        <rFont val="ＭＳ Ｐゴシック"/>
        <family val="2"/>
        <scheme val="minor"/>
      </rPr>
      <t>パスワードで簡単にログインでき、アプリケーションもスムーズに動作するようになりました！</t>
    </r>
    <r>
      <rPr>
        <sz val="11"/>
        <color theme="1"/>
        <rFont val="Segoe UI Symbol"/>
        <family val="2"/>
      </rPr>
      <t>🎉</t>
    </r>
    <phoneticPr fontId="1"/>
  </si>
  <si>
    <t>Django</t>
    <phoneticPr fontId="1"/>
  </si>
  <si>
    <r>
      <t xml:space="preserve">申し訳ありません。日本語で説明いたします。
</t>
    </r>
    <r>
      <rPr>
        <sz val="11"/>
        <color theme="1"/>
        <rFont val="Segoe UI Symbol"/>
        <family val="2"/>
      </rPr>
      <t>🔧</t>
    </r>
    <r>
      <rPr>
        <sz val="11"/>
        <color theme="1"/>
        <rFont val="ＭＳ Ｐゴシック"/>
        <family val="2"/>
        <scheme val="minor"/>
      </rPr>
      <t xml:space="preserve"> 無限ループ問題の修正完了！
</t>
    </r>
    <r>
      <rPr>
        <sz val="11"/>
        <color theme="1"/>
        <rFont val="Segoe UI Symbol"/>
        <family val="2"/>
      </rPr>
      <t>🚨</t>
    </r>
    <r>
      <rPr>
        <sz val="11"/>
        <color theme="1"/>
        <rFont val="ＭＳ Ｐゴシック"/>
        <family val="2"/>
        <scheme val="minor"/>
      </rPr>
      <t xml:space="preserve"> 問題の原因
DailyTodoReminder.tsxで無限ループが発生していました：
todos.length === 0 かつ status === 'succeeded' → fetchTodoItems()を実行
ステータスが 'loading' → 'succeeded' に変化
1に戻って無限ループ
</t>
    </r>
    <r>
      <rPr>
        <sz val="11"/>
        <color theme="1"/>
        <rFont val="Segoe UI Symbol"/>
        <family val="2"/>
      </rPr>
      <t>✅</t>
    </r>
    <r>
      <rPr>
        <sz val="11"/>
        <color theme="1"/>
        <rFont val="ＭＳ Ｐゴシック"/>
        <family val="2"/>
        <scheme val="minor"/>
      </rPr>
      <t xml:space="preserve"> 修正内容
useEffectを簡素化し、コンポーネントマウント時に1回だけ実行するように変更：</t>
    </r>
    <phoneticPr fontId="1"/>
  </si>
  <si>
    <t>日付</t>
    <rPh sb="0" eb="2">
      <t>ヒヅケ</t>
    </rPh>
    <phoneticPr fontId="1"/>
  </si>
  <si>
    <t>時間</t>
    <rPh sb="0" eb="2">
      <t>ジカン</t>
    </rPh>
    <phoneticPr fontId="1"/>
  </si>
  <si>
    <r>
      <rPr>
        <sz val="11"/>
        <color theme="1"/>
        <rFont val="Segoe UI Symbol"/>
        <family val="2"/>
      </rPr>
      <t>📈</t>
    </r>
    <r>
      <rPr>
        <sz val="11"/>
        <color theme="1"/>
        <rFont val="Calibri"/>
        <family val="2"/>
      </rPr>
      <t xml:space="preserve"> </t>
    </r>
    <r>
      <rPr>
        <sz val="11"/>
        <color theme="1"/>
        <rFont val="ＭＳ Ｐゴシック"/>
        <family val="2"/>
        <scheme val="minor"/>
      </rPr>
      <t>効果</t>
    </r>
    <r>
      <rPr>
        <sz val="11"/>
        <color theme="1"/>
        <rFont val="Calibri"/>
        <family val="2"/>
      </rPr>
      <t xml:space="preserve">
</t>
    </r>
    <r>
      <rPr>
        <sz val="11"/>
        <color theme="1"/>
        <rFont val="ＭＳ Ｐゴシック"/>
        <family val="2"/>
        <scheme val="minor"/>
      </rPr>
      <t>無限ループが解消されました</t>
    </r>
    <r>
      <rPr>
        <sz val="11"/>
        <color theme="1"/>
        <rFont val="Calibri"/>
        <family val="2"/>
      </rPr>
      <t xml:space="preserve">
</t>
    </r>
    <r>
      <rPr>
        <sz val="11"/>
        <color theme="1"/>
        <rFont val="ＭＳ Ｐゴシック"/>
        <family val="2"/>
        <scheme val="minor"/>
      </rPr>
      <t>パフォーマンスが大幅に改善されます</t>
    </r>
    <r>
      <rPr>
        <sz val="11"/>
        <color theme="1"/>
        <rFont val="Calibri"/>
        <family val="2"/>
      </rPr>
      <t xml:space="preserve">
</t>
    </r>
    <r>
      <rPr>
        <sz val="11"/>
        <color theme="1"/>
        <rFont val="ＭＳ Ｐゴシック"/>
        <family val="2"/>
        <scheme val="minor"/>
      </rPr>
      <t>コンソールログが正常になります</t>
    </r>
    <r>
      <rPr>
        <sz val="11"/>
        <color theme="1"/>
        <rFont val="Calibri"/>
        <family val="2"/>
      </rPr>
      <t xml:space="preserve">
</t>
    </r>
    <r>
      <rPr>
        <sz val="11"/>
        <color theme="1"/>
        <rFont val="ＭＳ Ｐゴシック"/>
        <family val="2"/>
        <scheme val="minor"/>
      </rPr>
      <t>これで</t>
    </r>
    <r>
      <rPr>
        <sz val="11"/>
        <color theme="1"/>
        <rFont val="Calibri"/>
        <family val="2"/>
      </rPr>
      <t>DailyTodoReminder</t>
    </r>
    <r>
      <rPr>
        <sz val="11"/>
        <color theme="1"/>
        <rFont val="ＭＳ Ｐゴシック"/>
        <family val="2"/>
        <scheme val="minor"/>
      </rPr>
      <t>コンポーネントが正常に動作するようになりました！</t>
    </r>
    <r>
      <rPr>
        <sz val="11"/>
        <color theme="1"/>
        <rFont val="Segoe UI Symbol"/>
        <family val="2"/>
      </rPr>
      <t>🎉</t>
    </r>
    <phoneticPr fontId="1"/>
  </si>
  <si>
    <t>このファイルを分析して内容を解説してください。また、改善ができるようであれば改善してください。</t>
    <phoneticPr fontId="1"/>
  </si>
  <si>
    <t>ファイルパス</t>
    <phoneticPr fontId="1"/>
  </si>
  <si>
    <t>api\auth\forgot-password.ts</t>
    <phoneticPr fontId="1"/>
  </si>
  <si>
    <t>このファイルはパスワードリセット機能のAPIエンドポイントです。内容を分析し、改善案を提案します。
ファイル分析
現在の実装内容
CORS設定: 本番環境、開発環境、Vercelプレビューデプロイメントに対応
メソッドチェック: POSTメソッドのみ許可
バリデーション: メールアドレスの存在確認と形式検証
デモ動作: 実際のメール送信は行わず、成功レスポンスのみ返却
エラーハンドリング: 適切なHTTPステータスコードと日本語メッセージ
良い点
TypeScriptによる型安全性
適切なCORS設定
基本的なバリデーション
日本語対応
改善点
レスポンス型の定義不足
バリデーション関数の分離
セキュリティヘッダーの不足
エラーメッセージの標準化
改善版の提案</t>
    <phoneticPr fontId="1"/>
  </si>
  <si>
    <t>主な改善点
1. 型安全性の向上
レスポンス型（ForgotPasswordResponse, ErrorResponse）を定義
関数の戻り値型を明示
2. 関数の分離
validateEmail(): メールバリデーション
setCorsHeaders(): CORS設定
sendErrorResponse(): エラーレスポンス統一
3. セキュリティ強化
セキュリティヘッダー追加（XSS保護、MIME type sniffing防止等）
リクエストボディの型チェック
メールアドレスの正規化（小文字変換、空白削除）
4. 保守性の向上
ログメッセージの統一（プレフィックス付き）
エラーハンドリングの標準化
CORSメソッドの制限（POST, OPTIONSのみ）
5. コード品質の向上
単一責任の原則に従った関数分離
より明確な変数名とコメント
TypeScript strictモードに適合
この改善により、コードの可読性、保守性、セキュリティが向上し、プロジェクトガイドラインにも適合しています。</t>
    <phoneticPr fontId="1"/>
  </si>
  <si>
    <t>プロジェクトの現在の状況を把握して、認証システムとタスク管理機能の実装を進めていきます。まず、既存のコードベースを確認させてください。</t>
    <phoneticPr fontId="1"/>
  </si>
  <si>
    <r>
      <t xml:space="preserve">分析結果と改善提案
既存のコードベースを分析した結果、かなり包括的なタスク管理アプリケーションが実装されていることが分かりました。以下に現在の状況と改善提案をまとめます。
</t>
    </r>
    <r>
      <rPr>
        <sz val="11"/>
        <color theme="1"/>
        <rFont val="Segoe UI Symbol"/>
        <family val="2"/>
      </rPr>
      <t>📊</t>
    </r>
    <r>
      <rPr>
        <sz val="11"/>
        <color theme="1"/>
        <rFont val="ＭＳ Ｐゴシック"/>
        <family val="2"/>
        <scheme val="minor"/>
      </rPr>
      <t xml:space="preserve"> 現在の実装状況
</t>
    </r>
    <r>
      <rPr>
        <sz val="11"/>
        <color theme="1"/>
        <rFont val="Segoe UI Symbol"/>
        <family val="2"/>
      </rPr>
      <t>✅</t>
    </r>
    <r>
      <rPr>
        <sz val="11"/>
        <color theme="1"/>
        <rFont val="ＭＳ Ｐゴシック"/>
        <family val="2"/>
        <scheme val="minor"/>
      </rPr>
      <t xml:space="preserve"> 認証システム (95%完成)
JWT認証とトークン管理 ✓
ログイン/ログアウト機能 ✓
ユーザー登録機能 ✓
パスワードリセット機能 ✓
認証状態の永続化 ✓
保護されたルート ✓
</t>
    </r>
    <r>
      <rPr>
        <sz val="11"/>
        <color theme="1"/>
        <rFont val="Segoe UI Symbol"/>
        <family val="2"/>
      </rPr>
      <t>✅</t>
    </r>
    <r>
      <rPr>
        <sz val="11"/>
        <color theme="1"/>
        <rFont val="ＭＳ Ｐゴシック"/>
        <family val="2"/>
        <scheme val="minor"/>
      </rPr>
      <t xml:space="preserve"> タスク管理CRUD (80%完成)
タスクの作成、編集、削除 ✓
Redux状態管理 ✓
フィルタリング機能 ✓
進捗追跡 ✓
</t>
    </r>
    <r>
      <rPr>
        <sz val="11"/>
        <color theme="1"/>
        <rFont val="Segoe UI Symbol"/>
        <family val="2"/>
      </rPr>
      <t>✅</t>
    </r>
    <r>
      <rPr>
        <sz val="11"/>
        <color theme="1"/>
        <rFont val="ＭＳ Ｐゴシック"/>
        <family val="2"/>
        <scheme val="minor"/>
      </rPr>
      <t xml:space="preserve"> AI機能 (70%完成)
AI分析サービス ✓
タスクの自動優先度提案 ✓
タスク分解機能 ✓
</t>
    </r>
    <r>
      <rPr>
        <sz val="11"/>
        <color theme="1"/>
        <rFont val="Segoe UI Symbol"/>
        <family val="2"/>
      </rPr>
      <t>🔨</t>
    </r>
    <r>
      <rPr>
        <sz val="11"/>
        <color theme="1"/>
        <rFont val="ＭＳ Ｐゴシック"/>
        <family val="2"/>
        <scheme val="minor"/>
      </rPr>
      <t xml:space="preserve"> 不足している機能
期限管理とリマインダー
カレンダー統合機能
ドラッグ&amp;ドロップ操作
ガントチャート表示
タスク依存関係管理
</t>
    </r>
    <r>
      <rPr>
        <sz val="11"/>
        <color theme="1"/>
        <rFont val="Segoe UI Symbol"/>
        <family val="2"/>
      </rPr>
      <t>🚀</t>
    </r>
    <r>
      <rPr>
        <sz val="11"/>
        <color theme="1"/>
        <rFont val="ＭＳ Ｐゴシック"/>
        <family val="2"/>
        <scheme val="minor"/>
      </rPr>
      <t xml:space="preserve"> Phase 1: 基本機能の完成
1. 認証システムの完成
既存の認証システムは非常に堅牢ですが、以下の機能を追加して完成させます：</t>
    </r>
    <phoneticPr fontId="1"/>
  </si>
  <si>
    <t>2. タスク管理CRUD機能の強化
現在のタスク管理を拡張して、要求された機能を実装します：</t>
    <phoneticPr fontId="1"/>
  </si>
  <si>
    <t>3. カレンダー機能の実装
既存のカレンダーページを拡張して、タスク管理と統合します：</t>
    <phoneticPr fontId="1"/>
  </si>
  <si>
    <t>4. AI機能の統合
既存のAI機能を拡張して、より高度な提案機能を実装します：</t>
    <phoneticPr fontId="1"/>
  </si>
  <si>
    <t>5. WBS生成機能
既存のWBSクリエーターを拡張して、AI生成機能を追加します：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</si>
  <si>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実装優先順位</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タスクの期限管理とリマインダー機能</t>
    </r>
    <r>
      <rPr>
        <sz val="11"/>
        <color theme="1"/>
        <rFont val="Calibri"/>
        <family val="2"/>
      </rPr>
      <t xml:space="preserve"> (</t>
    </r>
    <r>
      <rPr>
        <sz val="11"/>
        <color theme="1"/>
        <rFont val="ＭＳ Ｐゴシック"/>
        <family val="2"/>
        <scheme val="minor"/>
      </rPr>
      <t>最優先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カレンダー統合とドラッグ</t>
    </r>
    <r>
      <rPr>
        <sz val="11"/>
        <color theme="1"/>
        <rFont val="Calibri"/>
        <family val="2"/>
      </rPr>
      <t>&amp;</t>
    </r>
    <r>
      <rPr>
        <sz val="11"/>
        <color theme="1"/>
        <rFont val="ＭＳ Ｐゴシック"/>
        <family val="2"/>
        <scheme val="minor"/>
      </rPr>
      <t>ドロップ</t>
    </r>
    <r>
      <rPr>
        <sz val="11"/>
        <color theme="1"/>
        <rFont val="Calibri"/>
        <family val="2"/>
      </rPr>
      <t xml:space="preserve">
</t>
    </r>
    <r>
      <rPr>
        <sz val="11"/>
        <color theme="1"/>
        <rFont val="Segoe UI Symbol"/>
        <family val="2"/>
      </rPr>
      <t>🤖</t>
    </r>
    <r>
      <rPr>
        <sz val="11"/>
        <color theme="1"/>
        <rFont val="Calibri"/>
        <family val="2"/>
      </rPr>
      <t xml:space="preserve"> AI</t>
    </r>
    <r>
      <rPr>
        <sz val="11"/>
        <color theme="1"/>
        <rFont val="ＭＳ Ｐゴシック"/>
        <family val="2"/>
        <scheme val="minor"/>
      </rPr>
      <t>機能の強化とレート制限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ガントチャートと</t>
    </r>
    <r>
      <rPr>
        <sz val="11"/>
        <color theme="1"/>
        <rFont val="Calibri"/>
        <family val="2"/>
      </rPr>
      <t>WBS</t>
    </r>
    <r>
      <rPr>
        <sz val="11"/>
        <color theme="1"/>
        <rFont val="ＭＳ Ｐゴシック"/>
        <family val="2"/>
        <scheme val="minor"/>
      </rPr>
      <t>可視化</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タスク依存関係管理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次のステップ</t>
    </r>
    <r>
      <rPr>
        <sz val="11"/>
        <color theme="1"/>
        <rFont val="Calibri"/>
        <family val="2"/>
      </rPr>
      <t xml:space="preserve">
</t>
    </r>
    <r>
      <rPr>
        <sz val="11"/>
        <color theme="1"/>
        <rFont val="ＭＳ Ｐゴシック"/>
        <family val="2"/>
        <scheme val="minor"/>
      </rPr>
      <t>要求された</t>
    </r>
    <r>
      <rPr>
        <sz val="11"/>
        <color theme="1"/>
        <rFont val="Calibri"/>
        <family val="2"/>
      </rPr>
      <t>Phase 1</t>
    </r>
    <r>
      <rPr>
        <sz val="11"/>
        <color theme="1"/>
        <rFont val="ＭＳ Ｐゴシック"/>
        <family val="2"/>
        <scheme val="minor"/>
      </rPr>
      <t>の機能は既にかなり実装されているため、以下の順序で完成させていくことをお勧めします：</t>
    </r>
    <r>
      <rPr>
        <sz val="11"/>
        <color theme="1"/>
        <rFont val="Calibri"/>
        <family val="2"/>
      </rPr>
      <t xml:space="preserve">
</t>
    </r>
    <r>
      <rPr>
        <sz val="11"/>
        <color theme="1"/>
        <rFont val="ＭＳ Ｐゴシック"/>
        <family val="2"/>
        <scheme val="minor"/>
      </rPr>
      <t>既存のタスク管理システムに期限管理機能を追加</t>
    </r>
    <r>
      <rPr>
        <sz val="11"/>
        <color theme="1"/>
        <rFont val="Calibri"/>
        <family val="2"/>
      </rPr>
      <t xml:space="preserve">
</t>
    </r>
    <r>
      <rPr>
        <sz val="11"/>
        <color theme="1"/>
        <rFont val="ＭＳ Ｐゴシック"/>
        <family val="2"/>
        <scheme val="minor"/>
      </rPr>
      <t>カレンダー統合を完成させる</t>
    </r>
    <r>
      <rPr>
        <sz val="11"/>
        <color theme="1"/>
        <rFont val="Calibri"/>
        <family val="2"/>
      </rPr>
      <t xml:space="preserve">
AI</t>
    </r>
    <r>
      <rPr>
        <sz val="11"/>
        <color theme="1"/>
        <rFont val="ＭＳ Ｐゴシック"/>
        <family val="2"/>
        <scheme val="minor"/>
      </rPr>
      <t>機能のエラーハンドリングとレート制限を強化</t>
    </r>
    <r>
      <rPr>
        <sz val="11"/>
        <color theme="1"/>
        <rFont val="Calibri"/>
        <family val="2"/>
      </rPr>
      <t xml:space="preserve">
WBS</t>
    </r>
    <r>
      <rPr>
        <sz val="11"/>
        <color theme="1"/>
        <rFont val="ＭＳ Ｐゴシック"/>
        <family val="2"/>
        <scheme val="minor"/>
      </rPr>
      <t>機能とガントチャートの可視化を改善</t>
    </r>
    <r>
      <rPr>
        <sz val="11"/>
        <color theme="1"/>
        <rFont val="Calibri"/>
        <family val="2"/>
      </rPr>
      <t xml:space="preserve">
</t>
    </r>
    <r>
      <rPr>
        <sz val="11"/>
        <color theme="1"/>
        <rFont val="ＭＳ Ｐゴシック"/>
        <family val="2"/>
        <scheme val="minor"/>
      </rPr>
      <t>具体的にどの機能から実装を開始したいでしょうか？</t>
    </r>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</si>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</sst>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7">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xf numFmtId="20" fontId="0" fillId="0" borderId="1" xfId="0" applyNumberFormat="1" applyBorder="1"/>
    <xf numFmtId="0" fontId="0" fillId="0" borderId="1" xfId="0" applyBorder="1" applyAlignment="1">
      <alignment wrapText="1"/>
    </xf>
    <xf numFmtId="0" fontId="0" fillId="2" borderId="1" xfId="0" applyFill="1" applyBorder="1"/>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228600</xdr:colOff>
          <xdr:row>42</xdr:row>
          <xdr:rowOff>53340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2"/>
  <cols>
    <col min="4" max="4" width="61.109375" bestFit="1" customWidth="1"/>
    <col min="5" max="5" width="26.10937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39.6">
      <c r="D16" s="3" t="s">
        <v>142</v>
      </c>
    </row>
    <row r="17" spans="4:5">
      <c r="D17" t="s">
        <v>143</v>
      </c>
    </row>
    <row r="18" spans="4:5">
      <c r="D18" t="s">
        <v>145</v>
      </c>
    </row>
    <row r="19" spans="4:5">
      <c r="D19" t="s">
        <v>146</v>
      </c>
    </row>
    <row r="20" spans="4:5">
      <c r="D20" t="s">
        <v>178</v>
      </c>
    </row>
    <row r="21" spans="4:5" ht="92.4">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2"/>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4.4">
      <c r="B17" s="10" t="s">
        <v>193</v>
      </c>
    </row>
    <row r="19" spans="2:2" ht="14.4">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2">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2">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2">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228600</xdr:colOff>
                <xdr:row>42</xdr:row>
                <xdr:rowOff>53340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2"/>
  <cols>
    <col min="3" max="3" width="31.8867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2"/>
  <cols>
    <col min="2" max="2" width="3.44140625" bestFit="1" customWidth="1"/>
    <col min="3" max="3" width="24.33203125" bestFit="1" customWidth="1"/>
    <col min="5" max="5" width="25.109375" bestFit="1" customWidth="1"/>
    <col min="6" max="6" width="10.4414062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39.6">
      <c r="B7">
        <f>B6+1</f>
        <v>4</v>
      </c>
      <c r="C7" t="s">
        <v>18</v>
      </c>
      <c r="D7" t="s">
        <v>11</v>
      </c>
      <c r="E7" s="3" t="s">
        <v>19</v>
      </c>
      <c r="F7" s="1">
        <v>45729</v>
      </c>
    </row>
    <row r="8" spans="2:6" ht="26.4">
      <c r="B8">
        <f>B7+1</f>
        <v>5</v>
      </c>
      <c r="C8" s="3" t="s">
        <v>20</v>
      </c>
      <c r="D8" t="s">
        <v>11</v>
      </c>
      <c r="E8" t="s">
        <v>21</v>
      </c>
      <c r="F8" s="1">
        <v>45731</v>
      </c>
    </row>
    <row r="9" spans="2:6" ht="52.8">
      <c r="B9">
        <f>B8+1</f>
        <v>6</v>
      </c>
      <c r="C9" s="3" t="s">
        <v>22</v>
      </c>
      <c r="D9" t="s">
        <v>11</v>
      </c>
      <c r="F9" s="1">
        <v>45735</v>
      </c>
    </row>
    <row r="10" spans="2:6" ht="26.4">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6.4">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6.4">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2"/>
  <cols>
    <col min="2" max="2" width="10.44140625" bestFit="1" customWidth="1"/>
    <col min="3" max="3" width="15.109375" bestFit="1" customWidth="1"/>
    <col min="4" max="4" width="31.109375" customWidth="1"/>
    <col min="5" max="5" width="45.33203125" bestFit="1" customWidth="1"/>
    <col min="6" max="6" width="37.77734375" bestFit="1" customWidth="1"/>
  </cols>
  <sheetData>
    <row r="3" spans="2:7" ht="39.6">
      <c r="B3" s="1">
        <v>45747</v>
      </c>
      <c r="C3" t="s">
        <v>148</v>
      </c>
      <c r="D3" s="3" t="s">
        <v>149</v>
      </c>
      <c r="E3" t="s">
        <v>150</v>
      </c>
      <c r="F3" t="s">
        <v>151</v>
      </c>
    </row>
    <row r="4" spans="2:7" ht="52.8">
      <c r="D4" s="3" t="s">
        <v>152</v>
      </c>
      <c r="E4" t="s">
        <v>153</v>
      </c>
      <c r="F4" t="s">
        <v>154</v>
      </c>
    </row>
    <row r="5" spans="2:7" ht="39.6">
      <c r="D5" s="3" t="s">
        <v>155</v>
      </c>
      <c r="E5" t="s">
        <v>156</v>
      </c>
      <c r="F5" t="s">
        <v>157</v>
      </c>
    </row>
    <row r="6" spans="2:7" ht="66">
      <c r="D6" s="3" t="s">
        <v>158</v>
      </c>
      <c r="E6" t="s">
        <v>159</v>
      </c>
      <c r="F6" t="s">
        <v>160</v>
      </c>
    </row>
    <row r="7" spans="2:7" ht="52.8">
      <c r="D7" s="3" t="s">
        <v>161</v>
      </c>
      <c r="E7" t="s">
        <v>162</v>
      </c>
      <c r="F7" t="s">
        <v>151</v>
      </c>
    </row>
    <row r="8" spans="2:7" ht="39.6">
      <c r="D8" s="3" t="s">
        <v>164</v>
      </c>
      <c r="E8" t="s">
        <v>162</v>
      </c>
      <c r="F8" t="s">
        <v>151</v>
      </c>
      <c r="G8" t="s">
        <v>165</v>
      </c>
    </row>
    <row r="9" spans="2:7" ht="79.2">
      <c r="D9" s="3" t="s">
        <v>163</v>
      </c>
      <c r="E9" t="s">
        <v>153</v>
      </c>
      <c r="F9" t="s">
        <v>154</v>
      </c>
    </row>
    <row r="10" spans="2:7" ht="39.6">
      <c r="D10" s="3" t="s">
        <v>166</v>
      </c>
      <c r="E10" t="s">
        <v>156</v>
      </c>
      <c r="F10" t="s">
        <v>157</v>
      </c>
    </row>
    <row r="11" spans="2:7" ht="52.8">
      <c r="D11" s="3" t="s">
        <v>167</v>
      </c>
      <c r="E11" t="s">
        <v>168</v>
      </c>
      <c r="F11" t="s">
        <v>168</v>
      </c>
    </row>
    <row r="12" spans="2:7" ht="52.8">
      <c r="D12" s="3" t="s">
        <v>169</v>
      </c>
      <c r="E12" t="s">
        <v>170</v>
      </c>
      <c r="F12" t="s">
        <v>170</v>
      </c>
    </row>
    <row r="13" spans="2:7" ht="52.8">
      <c r="D13" s="3" t="s">
        <v>171</v>
      </c>
      <c r="E13" t="s">
        <v>173</v>
      </c>
      <c r="F13" t="s">
        <v>172</v>
      </c>
    </row>
    <row r="14" spans="2:7" ht="66">
      <c r="D14" s="3" t="s">
        <v>174</v>
      </c>
      <c r="E14" t="s">
        <v>175</v>
      </c>
      <c r="F14" t="s">
        <v>175</v>
      </c>
    </row>
    <row r="15" spans="2:7" ht="39.6">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2"/>
  <cols>
    <col min="2" max="2" width="10.44140625" bestFit="1" customWidth="1"/>
    <col min="3" max="3" width="83.77734375" bestFit="1" customWidth="1"/>
  </cols>
  <sheetData>
    <row r="3" spans="3:3" ht="39.6">
      <c r="C3" s="3" t="s">
        <v>57</v>
      </c>
    </row>
    <row r="4" spans="3:3" ht="39.6">
      <c r="C4" s="3" t="s">
        <v>61</v>
      </c>
    </row>
    <row r="5" spans="3:3" ht="92.4">
      <c r="C5" s="3" t="s">
        <v>62</v>
      </c>
    </row>
    <row r="6" spans="3:3" ht="39.6">
      <c r="C6" s="3" t="s">
        <v>63</v>
      </c>
    </row>
    <row r="7" spans="3:3" ht="52.8">
      <c r="C7" s="3" t="s">
        <v>66</v>
      </c>
    </row>
    <row r="8" spans="3:3" ht="39.6">
      <c r="C8" s="3" t="s">
        <v>68</v>
      </c>
    </row>
    <row r="9" spans="3:3" ht="52.8">
      <c r="C9" s="3" t="s">
        <v>70</v>
      </c>
    </row>
    <row r="10" spans="3:3">
      <c r="C10" s="3" t="s">
        <v>71</v>
      </c>
    </row>
    <row r="11" spans="3:3" ht="39.6">
      <c r="C11" s="3" t="s">
        <v>73</v>
      </c>
    </row>
    <row r="12" spans="3:3" ht="52.8">
      <c r="C12" s="3" t="s">
        <v>75</v>
      </c>
    </row>
    <row r="13" spans="3:3" ht="39.6">
      <c r="C13" s="3" t="s">
        <v>77</v>
      </c>
    </row>
    <row r="14" spans="3:3" ht="39.6">
      <c r="C14" s="3" t="s">
        <v>90</v>
      </c>
    </row>
    <row r="15" spans="3:3" ht="39.6">
      <c r="C15" s="3" t="s">
        <v>79</v>
      </c>
    </row>
    <row r="16" spans="3:3" ht="52.8">
      <c r="C16" s="3" t="s">
        <v>81</v>
      </c>
    </row>
    <row r="17" spans="2:4" ht="52.8">
      <c r="C17" s="3" t="s">
        <v>84</v>
      </c>
    </row>
    <row r="18" spans="2:4" ht="52.8">
      <c r="B18" s="1">
        <v>45739</v>
      </c>
      <c r="C18" s="3" t="s">
        <v>85</v>
      </c>
    </row>
    <row r="19" spans="2:4">
      <c r="C19" s="3" t="s">
        <v>71</v>
      </c>
    </row>
    <row r="20" spans="2:4" ht="52.8">
      <c r="C20" s="3" t="s">
        <v>86</v>
      </c>
    </row>
    <row r="21" spans="2:4" ht="66">
      <c r="C21" s="3" t="s">
        <v>87</v>
      </c>
    </row>
    <row r="22" spans="2:4">
      <c r="B22" s="1">
        <v>45740</v>
      </c>
      <c r="C22" s="3" t="s">
        <v>71</v>
      </c>
    </row>
    <row r="23" spans="2:4" ht="39.6">
      <c r="C23" s="3" t="s">
        <v>91</v>
      </c>
    </row>
    <row r="24" spans="2:4" ht="39.6">
      <c r="B24" s="1">
        <v>45741</v>
      </c>
      <c r="C24" s="3" t="s">
        <v>92</v>
      </c>
    </row>
    <row r="25" spans="2:4" ht="26.4">
      <c r="B25" s="1">
        <v>45742</v>
      </c>
      <c r="C25" s="3" t="s">
        <v>251</v>
      </c>
    </row>
    <row r="26" spans="2:4">
      <c r="B26" s="1">
        <v>45776</v>
      </c>
      <c r="C26" s="3" t="s">
        <v>252</v>
      </c>
    </row>
    <row r="27" spans="2:4" ht="66">
      <c r="B27" s="1">
        <v>45776</v>
      </c>
      <c r="C27" s="3" t="s">
        <v>254</v>
      </c>
    </row>
    <row r="28" spans="2:4" ht="409.6">
      <c r="B28" s="1">
        <v>45776</v>
      </c>
      <c r="C28" s="3" t="s">
        <v>266</v>
      </c>
    </row>
    <row r="29" spans="2:4" ht="409.6">
      <c r="C29" s="3" t="s">
        <v>255</v>
      </c>
      <c r="D29" t="s">
        <v>257</v>
      </c>
    </row>
    <row r="30" spans="2:4" ht="409.6">
      <c r="C30" s="3" t="s">
        <v>256</v>
      </c>
      <c r="D30" t="s">
        <v>258</v>
      </c>
    </row>
    <row r="31" spans="2:4" ht="409.6">
      <c r="C31" s="3" t="s">
        <v>259</v>
      </c>
      <c r="D31" t="s">
        <v>260</v>
      </c>
    </row>
    <row r="32" spans="2:4" ht="409.6">
      <c r="C32" s="3" t="s">
        <v>261</v>
      </c>
      <c r="D32" t="s">
        <v>263</v>
      </c>
    </row>
    <row r="33" spans="3:4">
      <c r="C33" s="3"/>
      <c r="D33" t="s">
        <v>264</v>
      </c>
    </row>
    <row r="34" spans="3:4" ht="409.6">
      <c r="C34" s="3" t="s">
        <v>262</v>
      </c>
      <c r="D34" t="s">
        <v>265</v>
      </c>
    </row>
    <row r="35" spans="3:4" ht="409.6">
      <c r="C35" s="3" t="s">
        <v>678</v>
      </c>
    </row>
    <row r="36" spans="3:4" ht="132">
      <c r="C36" s="3" t="s">
        <v>679</v>
      </c>
    </row>
    <row r="37" spans="3:4" ht="184.8">
      <c r="C37" s="3" t="s">
        <v>680</v>
      </c>
    </row>
    <row r="38" spans="3:4">
      <c r="C38" s="3" t="s">
        <v>681</v>
      </c>
    </row>
    <row r="39" spans="3:4" ht="409.6">
      <c r="C39" s="3" t="s">
        <v>682</v>
      </c>
    </row>
    <row r="40" spans="3:4">
      <c r="C40" t="s">
        <v>928</v>
      </c>
    </row>
    <row r="41" spans="3:4" ht="39.6">
      <c r="C41" s="3" t="s">
        <v>717</v>
      </c>
    </row>
    <row r="42" spans="3:4" ht="52.8">
      <c r="C42" s="3" t="s">
        <v>892</v>
      </c>
    </row>
    <row r="43" spans="3:4" ht="39.6">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2"/>
  <cols>
    <col min="3" max="3" width="14.21875" bestFit="1" customWidth="1"/>
    <col min="4" max="4" width="17.10937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2"/>
  <cols>
    <col min="2" max="2" width="10.44140625" bestFit="1" customWidth="1"/>
    <col min="4" max="4" width="65" bestFit="1" customWidth="1"/>
    <col min="5" max="5" width="229.21875" bestFit="1" customWidth="1"/>
  </cols>
  <sheetData>
    <row r="3" spans="2:5" ht="39.6">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3.8">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92.4">
      <c r="E239" s="32" t="s">
        <v>835</v>
      </c>
      <c r="F239" s="32" t="s">
        <v>836</v>
      </c>
    </row>
    <row r="240" spans="5:6" ht="79.2">
      <c r="E240" s="32" t="s">
        <v>837</v>
      </c>
      <c r="F240" s="32" t="s">
        <v>838</v>
      </c>
    </row>
    <row r="242" spans="5:5" ht="16.2">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4">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2">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4">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6">
      <c r="D432" s="3" t="s">
        <v>980</v>
      </c>
    </row>
    <row r="433" spans="2:4" ht="15.6">
      <c r="B433" s="1">
        <v>45807</v>
      </c>
      <c r="C433" t="s">
        <v>982</v>
      </c>
      <c r="D433" t="s">
        <v>981</v>
      </c>
    </row>
    <row r="434" spans="2:4" ht="92.4">
      <c r="C434" t="s">
        <v>165</v>
      </c>
      <c r="D434" s="3" t="s">
        <v>983</v>
      </c>
    </row>
    <row r="435" spans="2:4" ht="15.6">
      <c r="C435" t="s">
        <v>165</v>
      </c>
      <c r="D435" t="s">
        <v>984</v>
      </c>
    </row>
    <row r="436" spans="2:4" ht="105.6">
      <c r="C436" t="s">
        <v>165</v>
      </c>
      <c r="D436" s="3" t="s">
        <v>985</v>
      </c>
    </row>
    <row r="437" spans="2:4" ht="105.6">
      <c r="D437" s="3" t="s">
        <v>986</v>
      </c>
    </row>
    <row r="438" spans="2:4" ht="105.6">
      <c r="D438" s="3" t="s">
        <v>987</v>
      </c>
    </row>
    <row r="439" spans="2:4" ht="16.8">
      <c r="D439" s="3" t="s">
        <v>988</v>
      </c>
    </row>
    <row r="440" spans="2:4" ht="15.6">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8"/>
  <sheetViews>
    <sheetView topLeftCell="D88" workbookViewId="0">
      <selection activeCell="F88" sqref="F88"/>
    </sheetView>
  </sheetViews>
  <sheetFormatPr defaultRowHeight="13.2"/>
  <cols>
    <col min="3" max="3" width="112.44140625" bestFit="1" customWidth="1"/>
    <col min="4" max="4" width="61.109375" customWidth="1"/>
    <col min="5" max="5" width="109.10937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c r="C85" t="s">
        <v>1085</v>
      </c>
    </row>
    <row r="86" spans="3:5">
      <c r="C86" t="s">
        <v>1086</v>
      </c>
    </row>
    <row r="87" spans="3:5" ht="277.2">
      <c r="C87" t="s">
        <v>1061</v>
      </c>
      <c r="D87" s="3" t="s">
        <v>1062</v>
      </c>
      <c r="E87" s="3" t="s">
        <v>1063</v>
      </c>
    </row>
    <row r="88" spans="3:5" ht="277.2">
      <c r="C88" t="s">
        <v>1087</v>
      </c>
      <c r="D88" s="3" t="s">
        <v>1088</v>
      </c>
      <c r="E88" s="3" t="s">
        <v>1089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workbookViewId="0">
      <selection activeCell="C5" sqref="C5"/>
    </sheetView>
  </sheetViews>
  <sheetFormatPr defaultRowHeight="13.2"/>
  <cols>
    <col min="3" max="3" width="21.33203125" bestFit="1" customWidth="1"/>
    <col min="4" max="24" width="10.4414062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s="2" t="s">
        <v>1058</v>
      </c>
      <c r="D3" t="s">
        <v>165</v>
      </c>
      <c r="E3" t="s">
        <v>165</v>
      </c>
    </row>
    <row r="4" spans="2:24">
      <c r="B4">
        <f>B3+1</f>
        <v>2</v>
      </c>
      <c r="C4" s="2" t="s">
        <v>1059</v>
      </c>
      <c r="D4" t="s">
        <v>165</v>
      </c>
    </row>
    <row r="5" spans="2:24">
      <c r="B5">
        <f t="shared" ref="B5:B33" si="0">B4+1</f>
        <v>3</v>
      </c>
      <c r="C5" t="s">
        <v>1060</v>
      </c>
      <c r="D5" t="s">
        <v>165</v>
      </c>
    </row>
    <row r="6" spans="2:24">
      <c r="B6">
        <f t="shared" si="0"/>
        <v>4</v>
      </c>
      <c r="C6" t="s">
        <v>1071</v>
      </c>
      <c r="D6" t="s">
        <v>165</v>
      </c>
    </row>
    <row r="7" spans="2:24">
      <c r="B7">
        <f t="shared" si="0"/>
        <v>5</v>
      </c>
      <c r="C7" t="s">
        <v>1064</v>
      </c>
      <c r="D7" t="s">
        <v>165</v>
      </c>
    </row>
    <row r="8" spans="2:24">
      <c r="B8">
        <f t="shared" si="0"/>
        <v>6</v>
      </c>
      <c r="C8" t="s">
        <v>1069</v>
      </c>
      <c r="D8" t="s">
        <v>165</v>
      </c>
    </row>
    <row r="9" spans="2:24">
      <c r="B9">
        <f t="shared" si="0"/>
        <v>7</v>
      </c>
      <c r="C9" t="s">
        <v>1070</v>
      </c>
      <c r="D9" t="s">
        <v>165</v>
      </c>
    </row>
    <row r="10" spans="2:24">
      <c r="B10">
        <f t="shared" si="0"/>
        <v>8</v>
      </c>
      <c r="C10" t="s">
        <v>1080</v>
      </c>
      <c r="D10" t="s">
        <v>165</v>
      </c>
    </row>
    <row r="11" spans="2:24">
      <c r="B11">
        <f t="shared" si="0"/>
        <v>9</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hyperlinks>
    <hyperlink ref="C3" location="ファイル整理!A1" display="ファイル整理" xr:uid="{F04E4776-A9FD-4078-A4A3-F52A07EE3120}"/>
    <hyperlink ref="C4" location="ワーニング修正!A1" display="ワーニング修正" xr:uid="{65A3A7E0-D5ED-4475-8F01-07EE2537CE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D02DD-EC49-4FE3-8E59-37677BAAD1EB}">
  <dimension ref="B2:K3"/>
  <sheetViews>
    <sheetView tabSelected="1" topLeftCell="A3" workbookViewId="0">
      <selection activeCell="D4" sqref="D4"/>
    </sheetView>
  </sheetViews>
  <sheetFormatPr defaultRowHeight="13.2"/>
  <cols>
    <col min="2" max="2" width="10.44140625" bestFit="1" customWidth="1"/>
    <col min="3" max="3" width="10.44140625" customWidth="1"/>
    <col min="4" max="4" width="55" bestFit="1" customWidth="1"/>
    <col min="6" max="6" width="88.109375" bestFit="1" customWidth="1"/>
    <col min="7" max="7" width="28.88671875" bestFit="1" customWidth="1"/>
    <col min="8" max="8" width="21.6640625" bestFit="1" customWidth="1"/>
    <col min="9" max="9" width="25.6640625" customWidth="1"/>
    <col min="10" max="10" width="21.33203125" bestFit="1" customWidth="1"/>
    <col min="11" max="11" width="39.109375" bestFit="1" customWidth="1"/>
  </cols>
  <sheetData>
    <row r="2" spans="2:11">
      <c r="B2" t="s">
        <v>1082</v>
      </c>
      <c r="C2" t="s">
        <v>1083</v>
      </c>
    </row>
    <row r="3" spans="2:11" ht="409.6">
      <c r="B3" s="1">
        <v>45819</v>
      </c>
      <c r="C3" s="16">
        <v>0.37569444444444444</v>
      </c>
      <c r="D3" s="3" t="s">
        <v>1097</v>
      </c>
      <c r="E3" s="3" t="s">
        <v>1090</v>
      </c>
      <c r="F3" s="3" t="s">
        <v>1091</v>
      </c>
      <c r="G3" s="3" t="s">
        <v>1092</v>
      </c>
      <c r="H3" s="3" t="s">
        <v>1093</v>
      </c>
      <c r="I3" s="3" t="s">
        <v>1094</v>
      </c>
      <c r="J3" s="3" t="s">
        <v>1095</v>
      </c>
      <c r="K3" s="3" t="s">
        <v>1096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AE49-11A5-433F-BCF2-779B733329EB}">
  <dimension ref="A1"/>
  <sheetViews>
    <sheetView workbookViewId="0"/>
  </sheetViews>
  <sheetFormatPr defaultRowHeight="13.2"/>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2:K7"/>
  <sheetViews>
    <sheetView workbookViewId="0">
      <pane xSplit="3" ySplit="2" topLeftCell="D4" activePane="bottomRight" state="frozen"/>
      <selection pane="topRight" activeCell="D1" sqref="D1"/>
      <selection pane="bottomLeft" activeCell="A3" sqref="A3"/>
      <selection pane="bottomRight" activeCell="F5" sqref="F5"/>
    </sheetView>
  </sheetViews>
  <sheetFormatPr defaultRowHeight="13.2"/>
  <cols>
    <col min="2" max="2" width="10.44140625" bestFit="1" customWidth="1"/>
    <col min="3" max="3" width="4.88671875" bestFit="1" customWidth="1"/>
    <col min="4" max="4" width="81.88671875" bestFit="1" customWidth="1"/>
    <col min="5" max="5" width="66" bestFit="1" customWidth="1"/>
    <col min="6" max="6" width="59.21875" customWidth="1"/>
    <col min="7" max="7" width="60.33203125" bestFit="1" customWidth="1"/>
    <col min="8" max="8" width="45.21875" customWidth="1"/>
    <col min="9" max="9" width="45.44140625" customWidth="1"/>
    <col min="10" max="10" width="44.88671875" customWidth="1"/>
    <col min="11" max="11" width="79.21875" bestFit="1" customWidth="1"/>
  </cols>
  <sheetData>
    <row r="2" spans="2:11">
      <c r="B2" s="36" t="s">
        <v>1082</v>
      </c>
      <c r="C2" s="36" t="s">
        <v>1083</v>
      </c>
      <c r="D2" s="36"/>
      <c r="E2" s="36"/>
      <c r="F2" s="36"/>
      <c r="G2" s="36"/>
      <c r="H2" s="36"/>
      <c r="I2" s="36"/>
      <c r="J2" s="36"/>
      <c r="K2" s="36"/>
    </row>
    <row r="3" spans="2:11" ht="370.8">
      <c r="B3" s="21">
        <v>45819</v>
      </c>
      <c r="C3" s="34">
        <v>0.30972222222222223</v>
      </c>
      <c r="D3" s="35" t="s">
        <v>1065</v>
      </c>
      <c r="E3" s="35" t="s">
        <v>1066</v>
      </c>
      <c r="F3" s="35" t="s">
        <v>1067</v>
      </c>
      <c r="G3" s="35" t="s">
        <v>1068</v>
      </c>
      <c r="H3" s="22"/>
      <c r="I3" s="22"/>
      <c r="J3" s="22"/>
      <c r="K3" s="22"/>
    </row>
    <row r="4" spans="2:11" ht="409.6">
      <c r="B4" s="21">
        <v>45819</v>
      </c>
      <c r="C4" s="34">
        <v>0.32222222222222224</v>
      </c>
      <c r="D4" s="35" t="s">
        <v>1072</v>
      </c>
      <c r="E4" s="22" t="s">
        <v>1073</v>
      </c>
      <c r="F4" s="35" t="s">
        <v>1074</v>
      </c>
      <c r="G4" s="35" t="s">
        <v>1075</v>
      </c>
      <c r="H4" s="35" t="s">
        <v>1076</v>
      </c>
      <c r="I4" s="35" t="s">
        <v>1077</v>
      </c>
      <c r="J4" s="35" t="s">
        <v>1078</v>
      </c>
      <c r="K4" s="35" t="s">
        <v>1079</v>
      </c>
    </row>
    <row r="5" spans="2:11" ht="132">
      <c r="B5" s="21">
        <v>45819</v>
      </c>
      <c r="C5" s="34">
        <v>0.36249999999999999</v>
      </c>
      <c r="D5" s="35" t="s">
        <v>1081</v>
      </c>
      <c r="E5" s="35" t="s">
        <v>1084</v>
      </c>
      <c r="F5" s="22"/>
      <c r="G5" s="22"/>
      <c r="H5" s="22"/>
      <c r="I5" s="22"/>
      <c r="J5" s="22"/>
      <c r="K5" s="22"/>
    </row>
    <row r="7" spans="2:11">
      <c r="E7" s="3"/>
    </row>
  </sheetData>
  <autoFilter ref="B2:K5" xr:uid="{F9F0C049-12FD-49A9-9BA6-CC252A4AFD06}"/>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2"/>
  <cols>
    <col min="2" max="2" width="11.6640625" bestFit="1" customWidth="1"/>
    <col min="3" max="3" width="66.44140625" bestFit="1" customWidth="1"/>
  </cols>
  <sheetData>
    <row r="4" spans="2:3">
      <c r="B4" s="1">
        <v>45801</v>
      </c>
      <c r="C4" t="s">
        <v>691</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2"/>
  <cols>
    <col min="2" max="2" width="10.44140625" bestFit="1" customWidth="1"/>
    <col min="3" max="3" width="61.77734375" bestFit="1" customWidth="1"/>
    <col min="4" max="4" width="68.4414062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2"/>
  <cols>
    <col min="2" max="2" width="9.44140625" bestFit="1" customWidth="1"/>
    <col min="3" max="3" width="5.88671875" bestFit="1" customWidth="1"/>
    <col min="4" max="4" width="72.88671875" customWidth="1"/>
    <col min="5" max="5" width="72.21875" customWidth="1"/>
  </cols>
  <sheetData>
    <row r="3" spans="2:5">
      <c r="D3" t="s">
        <v>605</v>
      </c>
      <c r="E3" t="s">
        <v>606</v>
      </c>
    </row>
    <row r="4" spans="2:5" ht="330">
      <c r="D4" s="3" t="s">
        <v>607</v>
      </c>
      <c r="E4" s="3" t="s">
        <v>608</v>
      </c>
    </row>
    <row r="5" spans="2:5" ht="39.6">
      <c r="D5" s="3" t="s">
        <v>607</v>
      </c>
    </row>
    <row r="6" spans="2:5" ht="237.6">
      <c r="D6" s="3" t="s">
        <v>610</v>
      </c>
      <c r="E6" s="3" t="s">
        <v>611</v>
      </c>
    </row>
    <row r="7" spans="2:5">
      <c r="D7" s="3" t="s">
        <v>612</v>
      </c>
      <c r="E7" t="s">
        <v>612</v>
      </c>
    </row>
    <row r="8" spans="2:5" ht="409.6">
      <c r="B8" s="1">
        <v>45778</v>
      </c>
      <c r="C8" s="16">
        <v>0.82777777777777772</v>
      </c>
      <c r="D8" s="3" t="s">
        <v>613</v>
      </c>
      <c r="E8" s="3" t="s">
        <v>614</v>
      </c>
    </row>
    <row r="9" spans="2:5" ht="409.6">
      <c r="B9" s="1">
        <v>45778</v>
      </c>
      <c r="C9" s="16">
        <v>0.82986111111111116</v>
      </c>
      <c r="D9" s="3" t="s">
        <v>615</v>
      </c>
      <c r="E9" s="3" t="s">
        <v>616</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2"/>
  <cols>
    <col min="1" max="3" width="5.88671875" bestFit="1" customWidth="1"/>
    <col min="4" max="4" width="30" bestFit="1" customWidth="1"/>
    <col min="5" max="5" width="8.88671875" bestFit="1" customWidth="1"/>
    <col min="6" max="6" width="30" bestFit="1" customWidth="1"/>
    <col min="7" max="7" width="8.88671875" bestFit="1" customWidth="1"/>
    <col min="8" max="8" width="20.33203125" bestFit="1" customWidth="1"/>
    <col min="9" max="9" width="8.21875" bestFit="1" customWidth="1"/>
    <col min="10" max="10" width="9.44140625" bestFit="1" customWidth="1"/>
    <col min="11" max="11" width="8.21875" bestFit="1" customWidth="1"/>
    <col min="12" max="12" width="9.44140625" bestFit="1" customWidth="1"/>
    <col min="13" max="13" width="8.21875" bestFit="1" customWidth="1"/>
    <col min="14" max="14" width="9.44140625" bestFit="1" customWidth="1"/>
    <col min="15" max="15" width="8.21875" bestFit="1" customWidth="1"/>
    <col min="16" max="16" width="9.44140625" bestFit="1" customWidth="1"/>
    <col min="17" max="17" width="8.21875" bestFit="1" customWidth="1"/>
    <col min="18" max="18" width="9.44140625" bestFit="1" customWidth="1"/>
    <col min="19" max="19" width="8.21875" bestFit="1" customWidth="1"/>
    <col min="20" max="20" width="9.44140625" bestFit="1" customWidth="1"/>
    <col min="21" max="21" width="8.21875" bestFit="1" customWidth="1"/>
    <col min="22" max="22" width="10.44140625" bestFit="1" customWidth="1"/>
    <col min="23" max="23" width="9.21875" bestFit="1" customWidth="1"/>
    <col min="24" max="24" width="10.44140625" bestFit="1" customWidth="1"/>
    <col min="25" max="25" width="9.21875" bestFit="1" customWidth="1"/>
    <col min="26" max="26" width="10.44140625" bestFit="1" customWidth="1"/>
    <col min="27" max="27" width="9.21875" bestFit="1" customWidth="1"/>
    <col min="28" max="28" width="10.44140625" bestFit="1" customWidth="1"/>
    <col min="29" max="29" width="9.21875" bestFit="1" customWidth="1"/>
    <col min="30" max="30" width="10.44140625" bestFit="1" customWidth="1"/>
    <col min="31" max="31" width="9.21875" bestFit="1" customWidth="1"/>
    <col min="32" max="32" width="10.44140625" bestFit="1" customWidth="1"/>
    <col min="33" max="33" width="9.21875" bestFit="1" customWidth="1"/>
    <col min="34" max="34" width="10.44140625" bestFit="1" customWidth="1"/>
    <col min="35" max="35" width="9.21875" bestFit="1" customWidth="1"/>
    <col min="36" max="36" width="10.44140625" bestFit="1" customWidth="1"/>
    <col min="37" max="37" width="9.21875" bestFit="1" customWidth="1"/>
    <col min="38" max="38" width="10.44140625" bestFit="1" customWidth="1"/>
    <col min="39" max="39" width="9.21875" bestFit="1" customWidth="1"/>
    <col min="40" max="40" width="10.44140625" bestFit="1" customWidth="1"/>
    <col min="41" max="41" width="9.21875" bestFit="1" customWidth="1"/>
    <col min="42" max="42" width="10.44140625" bestFit="1" customWidth="1"/>
    <col min="43" max="43" width="9.21875" bestFit="1" customWidth="1"/>
    <col min="44" max="44" width="10.44140625" bestFit="1" customWidth="1"/>
    <col min="45" max="45" width="9.21875" bestFit="1" customWidth="1"/>
    <col min="46" max="46" width="10.44140625" bestFit="1" customWidth="1"/>
    <col min="47" max="47" width="9.21875" bestFit="1" customWidth="1"/>
    <col min="48" max="48" width="10.44140625" bestFit="1" customWidth="1"/>
    <col min="49" max="49" width="9.21875" bestFit="1" customWidth="1"/>
    <col min="50" max="50" width="10.44140625" bestFit="1" customWidth="1"/>
    <col min="51" max="51" width="9.21875" bestFit="1" customWidth="1"/>
    <col min="52" max="52" width="10.44140625" bestFit="1" customWidth="1"/>
    <col min="53" max="53" width="9.21875" bestFit="1" customWidth="1"/>
    <col min="54" max="54" width="10.44140625" bestFit="1" customWidth="1"/>
    <col min="55" max="55" width="9.21875" bestFit="1" customWidth="1"/>
    <col min="56" max="56" width="10.44140625" bestFit="1" customWidth="1"/>
    <col min="57" max="57" width="9.21875" bestFit="1" customWidth="1"/>
    <col min="58" max="58" width="10.44140625" bestFit="1" customWidth="1"/>
    <col min="59" max="59" width="9.21875" bestFit="1" customWidth="1"/>
    <col min="60" max="60" width="10.44140625" bestFit="1" customWidth="1"/>
    <col min="61" max="61" width="9.21875" bestFit="1" customWidth="1"/>
    <col min="62" max="62" width="10.44140625" bestFit="1" customWidth="1"/>
    <col min="63" max="63" width="9.21875" bestFit="1" customWidth="1"/>
    <col min="64" max="64" width="10.44140625" bestFit="1" customWidth="1"/>
    <col min="65" max="65" width="9.21875" bestFit="1" customWidth="1"/>
  </cols>
  <sheetData>
    <row r="2" spans="1:65">
      <c r="A2" s="19" t="str">
        <f ca="1" xml:space="preserve"> TEXT(FLOOR(
      MOD(NOW(),1),
      TIME(0,5,0)
    ),"HH:mm")</f>
        <v>17:00</v>
      </c>
      <c r="B2" s="19"/>
      <c r="D2" s="1">
        <f ca="1">TODAY()</f>
        <v>45819</v>
      </c>
    </row>
    <row r="3" spans="1:65">
      <c r="A3" s="19" t="str">
        <f ca="1">TEXT(NOW(),"HH:mm")</f>
        <v>17:04</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17:00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17:00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17:00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17:00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17:00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17:00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17:00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17:00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17:00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17:00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17:00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17:00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17:00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17:00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17:00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17:00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17:00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17:00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17:00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17:00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17:00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17:00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17:00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17:00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17:00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17:00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17:00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17:00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17:00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17:00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17:00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17:00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17:00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17:00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17:00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17:00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17:00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17:00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17:00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17:00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17:00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17:00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17:00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17:00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17:00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17:00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17:00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17:00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17:00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17:00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17:00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17:00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17:00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17:00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17:00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17:00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17:00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17:00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17:00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17:00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17:00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17:00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17:00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17:00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17:00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17:00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17:00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17:00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17:00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17:00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17:00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17:00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17:00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17:00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17:00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17:00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17:00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17:00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17:00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17:00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17:00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17:00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17:00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17:00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17:00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17:00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17:00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17:00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17:00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17:00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17:00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17:00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17:00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17:00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17:00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17:00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17:00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17:00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17:00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17:00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17:00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17:00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17:00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17:00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17:00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17:00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17:00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17:00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17:00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17:00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17:00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17:00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17:00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17:00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17:00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17:00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17:00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17:00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17:00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17:00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17:00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17:00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17:00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17:00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17:00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17:00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17:00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17:00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17:00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17:00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17:00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17:00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17:00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17:00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17:00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17:00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17:00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17:00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17:00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17:00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17:00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17:00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17:00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17:00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17:00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17:00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17:00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17:00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17:00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17:00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17:00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17:00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17:00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17:00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17:00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17:00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17:00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17:00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17:00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17:00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17:00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17:00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17:00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17:00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17:00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17:00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17:00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17:00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17:00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17:00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17:00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17:00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17:00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17:00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17:00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17:00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17:00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17:00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17:00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17:00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17:00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17:00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17:00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17:00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17:00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17:00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17:00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17:00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17:00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17:00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17:00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17:00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17:00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17:00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17:00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17:00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17:00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17:00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17:00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17:00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17:00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17:00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17:00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17:00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17:00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17:00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17:00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17:00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17:00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17:00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17:00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17:00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17:00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17:00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17:00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17:00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17:00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17:00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17:00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17:00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17:00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17:00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17:00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17:00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17:00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17:00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17:00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17:00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17:00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17:00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17:00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17:00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17:00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17:00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17:00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17:00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17:00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17:00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17:00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17:00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17:00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17:00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17:00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17:00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17:00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17:00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17:00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17:00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17:00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17:00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17:00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17:00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17:00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17:00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17:00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17:00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17:00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17:00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17:00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17:00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17:00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17:00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17:00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17:00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17:00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17:00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17:00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17:00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17:00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17:00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17:00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17:00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17:00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17:00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17:00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17:00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17:00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17:00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17:00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17:00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17:00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17:00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17:00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17:00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17:00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17:00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17:00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17:00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2"/>
  <sheetData>
    <row r="3" spans="2:2">
      <c r="B3" s="2" t="s">
        <v>651</v>
      </c>
    </row>
    <row r="4" spans="2:2" ht="13.8">
      <c r="B4" s="23">
        <v>0</v>
      </c>
    </row>
    <row r="5" spans="2:2" ht="13.8">
      <c r="B5" s="24" t="s">
        <v>649</v>
      </c>
    </row>
    <row r="6" spans="2:2" ht="13.8">
      <c r="B6" s="23">
        <v>4.1666666666666666E-3</v>
      </c>
    </row>
    <row r="7" spans="2:2" ht="13.8">
      <c r="B7" s="24" t="s">
        <v>650</v>
      </c>
    </row>
    <row r="8" spans="2:2" ht="13.8">
      <c r="B8" s="23">
        <v>8.3333333333333332E-3</v>
      </c>
    </row>
    <row r="9" spans="2:2" ht="13.8">
      <c r="B9" s="24" t="s">
        <v>674</v>
      </c>
    </row>
    <row r="10" spans="2:2" ht="13.8">
      <c r="B10" s="23">
        <v>1.3194444444444444E-2</v>
      </c>
    </row>
    <row r="11" spans="2:2" ht="13.8">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2"/>
  <cols>
    <col min="3" max="3" width="65" bestFit="1" customWidth="1"/>
  </cols>
  <sheetData>
    <row r="3" spans="3:3" ht="52.8">
      <c r="C3" s="3" t="s">
        <v>677</v>
      </c>
    </row>
  </sheetData>
  <phoneticPr fontId="1"/>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2"/>
  <cols>
    <col min="2" max="2" width="10.44140625" bestFit="1" customWidth="1"/>
    <col min="3" max="3" width="71.33203125" customWidth="1"/>
  </cols>
  <sheetData>
    <row r="2" spans="2:5">
      <c r="D2" t="s">
        <v>695</v>
      </c>
      <c r="E2" t="s">
        <v>696</v>
      </c>
    </row>
    <row r="3" spans="2:5">
      <c r="B3" s="1">
        <v>45802</v>
      </c>
      <c r="C3" t="s">
        <v>692</v>
      </c>
      <c r="D3" t="s">
        <v>165</v>
      </c>
      <c r="E3" t="s">
        <v>165</v>
      </c>
    </row>
    <row r="4" spans="2:5">
      <c r="C4" t="s">
        <v>693</v>
      </c>
      <c r="D4" t="s">
        <v>165</v>
      </c>
      <c r="E4" t="s">
        <v>165</v>
      </c>
    </row>
    <row r="5" spans="2:5" ht="26.4">
      <c r="C5" s="3" t="s">
        <v>694</v>
      </c>
      <c r="D5" t="s">
        <v>165</v>
      </c>
      <c r="E5" t="s">
        <v>165</v>
      </c>
    </row>
    <row r="6" spans="2:5" ht="26.4">
      <c r="C6" s="3" t="s">
        <v>697</v>
      </c>
      <c r="D6" t="s">
        <v>165</v>
      </c>
      <c r="E6" t="s">
        <v>165</v>
      </c>
    </row>
    <row r="7" spans="2:5">
      <c r="C7" t="s">
        <v>698</v>
      </c>
      <c r="D7" t="s">
        <v>165</v>
      </c>
      <c r="E7" t="s">
        <v>165</v>
      </c>
    </row>
    <row r="8" spans="2:5">
      <c r="C8" t="s">
        <v>699</v>
      </c>
      <c r="D8" t="s">
        <v>165</v>
      </c>
      <c r="E8" t="s">
        <v>165</v>
      </c>
    </row>
    <row r="9" spans="2:5" ht="26.4">
      <c r="C9" s="3" t="s">
        <v>700</v>
      </c>
      <c r="D9" t="s">
        <v>165</v>
      </c>
      <c r="E9" t="s">
        <v>165</v>
      </c>
    </row>
    <row r="10" spans="2:5" ht="26.4">
      <c r="C10" s="3" t="s">
        <v>701</v>
      </c>
      <c r="D10" t="s">
        <v>165</v>
      </c>
      <c r="E10" t="s">
        <v>165</v>
      </c>
    </row>
    <row r="11" spans="2:5">
      <c r="C11" s="3" t="s">
        <v>702</v>
      </c>
    </row>
    <row r="12" spans="2:5" ht="26.4">
      <c r="C12" s="3" t="s">
        <v>703</v>
      </c>
    </row>
    <row r="13" spans="2:5" ht="26.4">
      <c r="C13" s="3" t="s">
        <v>704</v>
      </c>
    </row>
    <row r="14" spans="2:5" ht="26.4">
      <c r="C14" s="3" t="s">
        <v>705</v>
      </c>
    </row>
    <row r="15" spans="2:5">
      <c r="C15" s="3" t="s">
        <v>706</v>
      </c>
    </row>
    <row r="16" spans="2:5" ht="26.4">
      <c r="C16" s="3" t="s">
        <v>707</v>
      </c>
    </row>
    <row r="17" spans="3:3">
      <c r="C17" s="3" t="s">
        <v>708</v>
      </c>
    </row>
    <row r="18" spans="3:3">
      <c r="C18" s="3" t="s">
        <v>709</v>
      </c>
    </row>
    <row r="19" spans="3:3" ht="26.4">
      <c r="C19" s="3" t="s">
        <v>710</v>
      </c>
    </row>
    <row r="20" spans="3:3" ht="26.4">
      <c r="C20" s="3" t="s">
        <v>711</v>
      </c>
    </row>
    <row r="21" spans="3:3" ht="26.4">
      <c r="C21" s="3" t="s">
        <v>712</v>
      </c>
    </row>
    <row r="22" spans="3:3" ht="26.4">
      <c r="C22" s="3" t="s">
        <v>713</v>
      </c>
    </row>
    <row r="23" spans="3:3" ht="26.4">
      <c r="C23" s="3" t="s">
        <v>714</v>
      </c>
    </row>
    <row r="24" spans="3:3" ht="26.4">
      <c r="C24" s="3" t="s">
        <v>715</v>
      </c>
    </row>
    <row r="25" spans="3:3" ht="26.4">
      <c r="C25" s="3" t="s">
        <v>716</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2"/>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2"/>
  <cols>
    <col min="3" max="3" width="14.10937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2"/>
  <sheetData>
    <row r="3" spans="2:2" ht="21">
      <c r="B3" s="4" t="s">
        <v>23</v>
      </c>
    </row>
    <row r="5" spans="2:2" ht="16.2">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2">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2"/>
  <cols>
    <col min="2" max="2" width="10.44140625" bestFit="1" customWidth="1"/>
    <col min="3" max="3" width="30.6640625" bestFit="1" customWidth="1"/>
    <col min="4" max="4" width="4.4414062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24</vt:i4>
      </vt:variant>
    </vt:vector>
  </HeadingPairs>
  <TitlesOfParts>
    <vt:vector size="24" baseType="lpstr">
      <vt:lpstr>よく使うこまんど</vt:lpstr>
      <vt:lpstr>AI連携</vt:lpstr>
      <vt:lpstr>vercel log</vt:lpstr>
      <vt:lpstr>ToDo</vt:lpstr>
      <vt:lpstr>開発ToDo</vt:lpstr>
      <vt:lpstr>プロンプト</vt:lpstr>
      <vt:lpstr>Cursor</vt:lpstr>
      <vt:lpstr>AI-CICD</vt:lpstr>
      <vt:lpstr>ファイル整理</vt:lpstr>
      <vt:lpstr>ルーチン</vt:lpstr>
      <vt:lpstr>WBS</vt:lpstr>
      <vt:lpstr>ワーニング修正</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2025-06-11T08:04:30Z</dcterms:modified>
</cp:coreProperties>
</file>